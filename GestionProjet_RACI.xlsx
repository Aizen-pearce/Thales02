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p\Documents\01-Service_IVV-Avionique\XX-Université Nice\IUT Reseau et Telecom\doc_support\PlanningProjet\"/>
    </mc:Choice>
  </mc:AlternateContent>
  <bookViews>
    <workbookView xWindow="0" yWindow="0" windowWidth="23040" windowHeight="9192"/>
  </bookViews>
  <sheets>
    <sheet name="Planification_projet" sheetId="1" r:id="rId1"/>
    <sheet name="parametre" sheetId="2" r:id="rId2"/>
  </sheets>
  <definedNames>
    <definedName name="_xlnm._FilterDatabase" localSheetId="0" hidden="1">Planification_projet!$B$8:$M$35</definedName>
    <definedName name="DateDebutProjet">Planification_projet!$E$3</definedName>
    <definedName name="week">Planification_projet!$T$4</definedName>
  </definedNames>
  <calcPr calcId="162913"/>
</workbook>
</file>

<file path=xl/calcChain.xml><?xml version="1.0" encoding="utf-8"?>
<calcChain xmlns="http://schemas.openxmlformats.org/spreadsheetml/2006/main">
  <c r="K35" i="1" l="1"/>
  <c r="K34" i="1"/>
  <c r="K33" i="1"/>
  <c r="K32" i="1"/>
  <c r="K31" i="1"/>
  <c r="K30" i="1"/>
  <c r="K28" i="1"/>
  <c r="K27" i="1"/>
  <c r="K26" i="1"/>
  <c r="K25" i="1"/>
  <c r="K24" i="1"/>
  <c r="K23" i="1"/>
  <c r="K21" i="1"/>
  <c r="K20" i="1"/>
  <c r="K19" i="1"/>
  <c r="K18" i="1"/>
  <c r="K17" i="1"/>
  <c r="M17" i="1" s="1"/>
  <c r="K16" i="1"/>
  <c r="K15" i="1"/>
  <c r="K14" i="1"/>
  <c r="K13" i="1"/>
  <c r="K12" i="1"/>
  <c r="M12" i="1" s="1"/>
  <c r="J6" i="1"/>
  <c r="L29" i="1" l="1"/>
  <c r="L22" i="1"/>
  <c r="L11" i="1"/>
  <c r="J5" i="1" s="1"/>
  <c r="M27" i="1"/>
  <c r="M20" i="1"/>
  <c r="I11" i="1"/>
  <c r="M35" i="1" l="1"/>
  <c r="M34" i="1"/>
  <c r="M33" i="1"/>
  <c r="M32" i="1"/>
  <c r="M31" i="1"/>
  <c r="M30" i="1"/>
  <c r="M28" i="1"/>
  <c r="M26" i="1"/>
  <c r="M25" i="1"/>
  <c r="M24" i="1"/>
  <c r="M23" i="1"/>
  <c r="M14" i="1"/>
  <c r="M21" i="1"/>
  <c r="M19" i="1"/>
  <c r="M18" i="1"/>
  <c r="M16" i="1"/>
  <c r="K22" i="1" l="1"/>
  <c r="I22" i="1"/>
  <c r="K29" i="1"/>
  <c r="I29" i="1"/>
  <c r="M13" i="1"/>
  <c r="N10" i="1"/>
  <c r="O10" i="1" s="1"/>
  <c r="P10" i="1" s="1"/>
  <c r="Q10" i="1" s="1"/>
  <c r="Q9" i="1" s="1"/>
  <c r="M15" i="1"/>
  <c r="J22" i="1" l="1"/>
  <c r="M29" i="1"/>
  <c r="M22" i="1"/>
  <c r="J29" i="1"/>
  <c r="N8" i="1"/>
  <c r="N9" i="1"/>
  <c r="O9" i="1"/>
  <c r="P8" i="1"/>
  <c r="O8" i="1"/>
  <c r="R10" i="1"/>
  <c r="Q8" i="1"/>
  <c r="P9" i="1"/>
  <c r="S10" i="1" l="1"/>
  <c r="R8" i="1"/>
  <c r="R9" i="1"/>
  <c r="T10" i="1" l="1"/>
  <c r="S8" i="1"/>
  <c r="S9" i="1"/>
  <c r="U10" i="1" l="1"/>
  <c r="T8" i="1"/>
  <c r="T9" i="1"/>
  <c r="V10" i="1" l="1"/>
  <c r="U9" i="1"/>
  <c r="U8" i="1"/>
  <c r="W10" i="1" l="1"/>
  <c r="V9" i="1"/>
  <c r="V8" i="1"/>
  <c r="X10" i="1" l="1"/>
  <c r="W8" i="1"/>
  <c r="W9" i="1"/>
  <c r="Y10" i="1" l="1"/>
  <c r="X9" i="1"/>
  <c r="X8" i="1"/>
  <c r="Z10" i="1" l="1"/>
  <c r="Y8" i="1"/>
  <c r="Y9" i="1"/>
  <c r="AA10" i="1" l="1"/>
  <c r="Z8" i="1"/>
  <c r="Z9" i="1"/>
  <c r="AB10" i="1" l="1"/>
  <c r="AA9" i="1"/>
  <c r="AA8" i="1"/>
  <c r="AC10" i="1" l="1"/>
  <c r="AB8" i="1"/>
  <c r="AB9" i="1"/>
  <c r="AD10" i="1" l="1"/>
  <c r="AC9" i="1"/>
  <c r="AC8" i="1"/>
  <c r="AE10" i="1" l="1"/>
  <c r="AD8" i="1"/>
  <c r="AD9" i="1"/>
  <c r="AF10" i="1" l="1"/>
  <c r="AE8" i="1"/>
  <c r="AE9" i="1"/>
  <c r="AG10" i="1" l="1"/>
  <c r="AF9" i="1"/>
  <c r="AF8" i="1"/>
  <c r="AH10" i="1" l="1"/>
  <c r="AG8" i="1"/>
  <c r="AG9" i="1"/>
  <c r="AI10" i="1" l="1"/>
  <c r="AH8" i="1"/>
  <c r="AH9" i="1"/>
  <c r="AJ10" i="1" l="1"/>
  <c r="AI9" i="1"/>
  <c r="AI8" i="1"/>
  <c r="AK10" i="1" l="1"/>
  <c r="AJ8" i="1"/>
  <c r="AJ9" i="1"/>
  <c r="AL10" i="1" l="1"/>
  <c r="AK9" i="1"/>
  <c r="AK8" i="1"/>
  <c r="AM10" i="1" l="1"/>
  <c r="AL9" i="1"/>
  <c r="AL8" i="1"/>
  <c r="AN10" i="1" l="1"/>
  <c r="AM8" i="1"/>
  <c r="AM9" i="1"/>
  <c r="AO10" i="1" l="1"/>
  <c r="AN8" i="1"/>
  <c r="AN9" i="1"/>
  <c r="AP10" i="1" l="1"/>
  <c r="AO8" i="1"/>
  <c r="AO9" i="1"/>
  <c r="AQ10" i="1" l="1"/>
  <c r="AP8" i="1"/>
  <c r="AP9" i="1"/>
  <c r="AR10" i="1" l="1"/>
  <c r="AQ9" i="1"/>
  <c r="AQ8" i="1"/>
  <c r="AS10" i="1" l="1"/>
  <c r="AR8" i="1"/>
  <c r="AR9" i="1"/>
  <c r="AT10" i="1" l="1"/>
  <c r="AS9" i="1"/>
  <c r="AS8" i="1"/>
  <c r="AU10" i="1" l="1"/>
  <c r="AT9" i="1"/>
  <c r="AT8" i="1"/>
  <c r="AV10" i="1" l="1"/>
  <c r="AU8" i="1"/>
  <c r="AU9" i="1"/>
  <c r="AW10" i="1" l="1"/>
  <c r="AV9" i="1"/>
  <c r="AV8" i="1"/>
  <c r="AX10" i="1" l="1"/>
  <c r="AW8" i="1"/>
  <c r="AW9" i="1"/>
  <c r="AY10" i="1" l="1"/>
  <c r="AX8" i="1"/>
  <c r="AX9" i="1"/>
  <c r="AZ10" i="1" l="1"/>
  <c r="AY8" i="1"/>
  <c r="AY9" i="1"/>
  <c r="BA10" i="1" l="1"/>
  <c r="AZ8" i="1"/>
  <c r="AZ9" i="1"/>
  <c r="BB10" i="1" l="1"/>
  <c r="BA9" i="1"/>
  <c r="BA8" i="1"/>
  <c r="BC10" i="1" l="1"/>
  <c r="BB9" i="1"/>
  <c r="BB8" i="1"/>
  <c r="BD10" i="1" l="1"/>
  <c r="BC8" i="1"/>
  <c r="BC9" i="1"/>
  <c r="BE10" i="1" l="1"/>
  <c r="BD9" i="1"/>
  <c r="BD8" i="1"/>
  <c r="BF10" i="1" l="1"/>
  <c r="BE8" i="1"/>
  <c r="BE9" i="1"/>
  <c r="BG10" i="1" l="1"/>
  <c r="BF8" i="1"/>
  <c r="BF9" i="1"/>
  <c r="BH10" i="1" l="1"/>
  <c r="BG9" i="1"/>
  <c r="BG8" i="1"/>
  <c r="BI10" i="1" l="1"/>
  <c r="BH8" i="1"/>
  <c r="BH9" i="1"/>
  <c r="BJ10" i="1" l="1"/>
  <c r="BI9" i="1"/>
  <c r="BI8" i="1"/>
  <c r="BK10" i="1" l="1"/>
  <c r="BJ8" i="1"/>
  <c r="BJ9" i="1"/>
  <c r="BL10" i="1" l="1"/>
  <c r="BK8" i="1"/>
  <c r="BK9" i="1"/>
  <c r="BM10" i="1" l="1"/>
  <c r="BL9" i="1"/>
  <c r="BL8" i="1"/>
  <c r="BN10" i="1" l="1"/>
  <c r="BM8" i="1"/>
  <c r="BM9" i="1"/>
  <c r="BO10" i="1" l="1"/>
  <c r="BN8" i="1"/>
  <c r="BN9" i="1"/>
  <c r="BP10" i="1" l="1"/>
  <c r="BO9" i="1"/>
  <c r="BO8" i="1"/>
  <c r="BQ10" i="1" l="1"/>
  <c r="BP9" i="1"/>
  <c r="BP8" i="1"/>
  <c r="BR10" i="1" l="1"/>
  <c r="BQ9" i="1"/>
  <c r="BQ8" i="1"/>
  <c r="BS10" i="1" l="1"/>
  <c r="BR9" i="1"/>
  <c r="BR8" i="1"/>
  <c r="BT10" i="1" l="1"/>
  <c r="BS8" i="1"/>
  <c r="BS9" i="1"/>
  <c r="BU10" i="1" l="1"/>
  <c r="BT8" i="1"/>
  <c r="BT9" i="1"/>
  <c r="BV10" i="1" l="1"/>
  <c r="BU8" i="1"/>
  <c r="BU9" i="1"/>
  <c r="BW10" i="1" l="1"/>
  <c r="BV8" i="1"/>
  <c r="BV9" i="1"/>
  <c r="BX10" i="1" l="1"/>
  <c r="BW9" i="1"/>
  <c r="BW8" i="1"/>
  <c r="BY10" i="1" l="1"/>
  <c r="BX8" i="1"/>
  <c r="BX9" i="1"/>
  <c r="BZ10" i="1" l="1"/>
  <c r="BY9" i="1"/>
  <c r="BY8" i="1"/>
  <c r="CA10" i="1" l="1"/>
  <c r="BZ9" i="1"/>
  <c r="BZ8" i="1"/>
  <c r="CB10" i="1" l="1"/>
  <c r="CA9" i="1"/>
  <c r="CA8" i="1"/>
  <c r="CC10" i="1" l="1"/>
  <c r="CB9" i="1"/>
  <c r="CB8" i="1"/>
  <c r="CD10" i="1" l="1"/>
  <c r="CC8" i="1"/>
  <c r="CC9" i="1"/>
  <c r="CE10" i="1" l="1"/>
  <c r="CD8" i="1"/>
  <c r="CD9" i="1"/>
  <c r="CF10" i="1" l="1"/>
  <c r="CE8" i="1"/>
  <c r="CE9" i="1"/>
  <c r="CG10" i="1" l="1"/>
  <c r="CF8" i="1"/>
  <c r="CF9" i="1"/>
  <c r="CH10" i="1" l="1"/>
  <c r="CG9" i="1"/>
  <c r="CG8" i="1"/>
  <c r="CI10" i="1" l="1"/>
  <c r="CH9" i="1"/>
  <c r="CH8" i="1"/>
  <c r="CJ10" i="1" l="1"/>
  <c r="CI8" i="1"/>
  <c r="CI9" i="1"/>
  <c r="CK10" i="1" l="1"/>
  <c r="CJ9" i="1"/>
  <c r="CJ8" i="1"/>
  <c r="CL10" i="1" l="1"/>
  <c r="CK8" i="1"/>
  <c r="CK9" i="1"/>
  <c r="CM10" i="1" l="1"/>
  <c r="CL8" i="1"/>
  <c r="CL9" i="1"/>
  <c r="CN10" i="1" l="1"/>
  <c r="CM9" i="1"/>
  <c r="CM8" i="1"/>
  <c r="CO10" i="1" l="1"/>
  <c r="CN8" i="1"/>
  <c r="CN9" i="1"/>
  <c r="CP10" i="1" l="1"/>
  <c r="CO9" i="1"/>
  <c r="CO8" i="1"/>
  <c r="CQ10" i="1" l="1"/>
  <c r="CP8" i="1"/>
  <c r="CP9" i="1"/>
  <c r="CR10" i="1" l="1"/>
  <c r="CQ8" i="1"/>
  <c r="CQ9" i="1"/>
  <c r="CS10" i="1" l="1"/>
  <c r="CR9" i="1"/>
  <c r="CR8" i="1"/>
  <c r="CT10" i="1" l="1"/>
  <c r="CS8" i="1"/>
  <c r="CS9" i="1"/>
  <c r="CU10" i="1" l="1"/>
  <c r="CT8" i="1"/>
  <c r="CT9" i="1"/>
  <c r="CV10" i="1" l="1"/>
  <c r="CU9" i="1"/>
  <c r="CU8" i="1"/>
  <c r="CW10" i="1" l="1"/>
  <c r="CV8" i="1"/>
  <c r="CV9" i="1"/>
  <c r="CX10" i="1" l="1"/>
  <c r="CW9" i="1"/>
  <c r="CW8" i="1"/>
  <c r="K11" i="1"/>
  <c r="J11" i="1" l="1"/>
  <c r="M11" i="1"/>
  <c r="CY10" i="1"/>
  <c r="CX9" i="1"/>
  <c r="CX8" i="1"/>
  <c r="CZ10" i="1" l="1"/>
  <c r="CY8" i="1"/>
  <c r="CY9" i="1"/>
  <c r="DA10" i="1" l="1"/>
  <c r="CZ8" i="1"/>
  <c r="CZ9" i="1"/>
  <c r="DB10" i="1" l="1"/>
  <c r="DA8" i="1"/>
  <c r="DA9" i="1"/>
  <c r="DC10" i="1" l="1"/>
  <c r="DB8" i="1"/>
  <c r="DB9" i="1"/>
  <c r="DD10" i="1" l="1"/>
  <c r="DC9" i="1"/>
  <c r="DC8" i="1"/>
  <c r="DE10" i="1" l="1"/>
  <c r="DD8" i="1"/>
  <c r="DD9" i="1"/>
  <c r="DF10" i="1" l="1"/>
  <c r="DE9" i="1"/>
  <c r="DE8" i="1"/>
  <c r="DG10" i="1" l="1"/>
  <c r="DF9" i="1"/>
  <c r="DF8" i="1"/>
  <c r="DH10" i="1" l="1"/>
  <c r="DG8" i="1"/>
  <c r="DG9" i="1"/>
  <c r="DI10" i="1" l="1"/>
  <c r="DH9" i="1"/>
  <c r="DH8" i="1"/>
  <c r="DJ10" i="1" l="1"/>
  <c r="DI8" i="1"/>
  <c r="DI9" i="1"/>
  <c r="DK10" i="1" l="1"/>
  <c r="DJ8" i="1"/>
  <c r="DJ9" i="1"/>
  <c r="DL10" i="1" l="1"/>
  <c r="DK8" i="1"/>
  <c r="DK9" i="1"/>
  <c r="DM10" i="1" l="1"/>
  <c r="DL8" i="1"/>
  <c r="DL9" i="1"/>
  <c r="DN10" i="1" l="1"/>
  <c r="DM9" i="1"/>
  <c r="DM8" i="1"/>
  <c r="DO10" i="1" l="1"/>
  <c r="DN9" i="1"/>
  <c r="DN8" i="1"/>
  <c r="DP10" i="1" l="1"/>
  <c r="DO8" i="1"/>
  <c r="DO9" i="1"/>
  <c r="DQ10" i="1" l="1"/>
  <c r="DP9" i="1"/>
  <c r="DP8" i="1"/>
  <c r="DR10" i="1" l="1"/>
  <c r="DQ8" i="1"/>
  <c r="DQ9" i="1"/>
  <c r="DS10" i="1" l="1"/>
  <c r="DR9" i="1"/>
  <c r="DR8" i="1"/>
  <c r="DT10" i="1" l="1"/>
  <c r="DS9" i="1"/>
  <c r="DS8" i="1"/>
  <c r="DU10" i="1" l="1"/>
  <c r="DT8" i="1"/>
  <c r="DT9" i="1"/>
  <c r="DV10" i="1" l="1"/>
  <c r="DU9" i="1"/>
  <c r="DU8" i="1"/>
  <c r="DW10" i="1" l="1"/>
  <c r="DV8" i="1"/>
  <c r="DV9" i="1"/>
  <c r="DX10" i="1" l="1"/>
  <c r="DW8" i="1"/>
  <c r="DW9" i="1"/>
  <c r="DY10" i="1" l="1"/>
  <c r="DX9" i="1"/>
  <c r="DX8" i="1"/>
  <c r="DZ10" i="1" l="1"/>
  <c r="DY8" i="1"/>
  <c r="DY9" i="1"/>
  <c r="EA10" i="1" l="1"/>
  <c r="DZ8" i="1"/>
  <c r="DZ9" i="1"/>
  <c r="EB10" i="1" l="1"/>
  <c r="EA9" i="1"/>
  <c r="EA8" i="1"/>
  <c r="EC10" i="1" l="1"/>
  <c r="EB8" i="1"/>
  <c r="EB9" i="1"/>
  <c r="ED10" i="1" l="1"/>
  <c r="EC9" i="1"/>
  <c r="EC8" i="1"/>
  <c r="EE10" i="1" l="1"/>
  <c r="ED9" i="1"/>
  <c r="ED8" i="1"/>
  <c r="EF10" i="1" l="1"/>
  <c r="EE8" i="1"/>
  <c r="EE9" i="1"/>
  <c r="EG10" i="1" l="1"/>
  <c r="EF8" i="1"/>
  <c r="EF9" i="1"/>
  <c r="EH10" i="1" l="1"/>
  <c r="EG8" i="1"/>
  <c r="EG9" i="1"/>
  <c r="EI10" i="1" l="1"/>
  <c r="EH8" i="1"/>
  <c r="EH9" i="1"/>
  <c r="EJ10" i="1" l="1"/>
  <c r="EI9" i="1"/>
  <c r="EI8" i="1"/>
  <c r="EK10" i="1" l="1"/>
  <c r="EJ8" i="1"/>
  <c r="EJ9" i="1"/>
  <c r="EL10" i="1" l="1"/>
  <c r="EK9" i="1"/>
  <c r="EK8" i="1"/>
  <c r="EM10" i="1" l="1"/>
  <c r="EL9" i="1"/>
  <c r="EL8" i="1"/>
  <c r="EN10" i="1" l="1"/>
  <c r="EM9" i="1"/>
  <c r="EM8" i="1"/>
  <c r="EO10" i="1" l="1"/>
  <c r="EN9" i="1"/>
  <c r="EN8" i="1"/>
  <c r="EP10" i="1" l="1"/>
  <c r="EO8" i="1"/>
  <c r="EO9" i="1"/>
  <c r="EQ10" i="1" l="1"/>
  <c r="EP8" i="1"/>
  <c r="EP9" i="1"/>
  <c r="ER10" i="1" l="1"/>
  <c r="EQ8" i="1"/>
  <c r="EQ9" i="1"/>
  <c r="ES10" i="1" l="1"/>
  <c r="ER8" i="1"/>
  <c r="ER9" i="1"/>
  <c r="ET10" i="1" l="1"/>
  <c r="ES9" i="1"/>
  <c r="ES8" i="1"/>
  <c r="EU10" i="1" l="1"/>
  <c r="ET9" i="1"/>
  <c r="ET8" i="1"/>
  <c r="EV10" i="1" l="1"/>
  <c r="EU8" i="1"/>
  <c r="EU9" i="1"/>
  <c r="EW10" i="1" l="1"/>
  <c r="EV9" i="1"/>
  <c r="EV8" i="1"/>
  <c r="EX10" i="1" l="1"/>
  <c r="EW8" i="1"/>
  <c r="EW9" i="1"/>
  <c r="EY10" i="1" l="1"/>
  <c r="EX9" i="1"/>
  <c r="EX8" i="1"/>
  <c r="EZ10" i="1" l="1"/>
  <c r="EY9" i="1"/>
  <c r="EY8" i="1"/>
  <c r="FA10" i="1" l="1"/>
  <c r="EZ8" i="1"/>
  <c r="EZ9" i="1"/>
  <c r="FB10" i="1" l="1"/>
  <c r="FA9" i="1"/>
  <c r="FA8" i="1"/>
  <c r="FC10" i="1" l="1"/>
  <c r="FB8" i="1"/>
  <c r="FB9" i="1"/>
  <c r="FD10" i="1" l="1"/>
  <c r="FC8" i="1"/>
  <c r="FC9" i="1"/>
  <c r="FE10" i="1" l="1"/>
  <c r="FD9" i="1"/>
  <c r="FD8" i="1"/>
  <c r="FF10" i="1" l="1"/>
  <c r="FE8" i="1"/>
  <c r="FE9" i="1"/>
  <c r="FG10" i="1" l="1"/>
  <c r="FF8" i="1"/>
  <c r="FF9" i="1"/>
  <c r="FH10" i="1" l="1"/>
  <c r="FG9" i="1"/>
  <c r="FG8" i="1"/>
  <c r="FI10" i="1" l="1"/>
  <c r="FH9" i="1"/>
  <c r="FH8" i="1"/>
  <c r="FJ10" i="1" l="1"/>
  <c r="FI9" i="1"/>
  <c r="FI8" i="1"/>
  <c r="FK10" i="1" l="1"/>
  <c r="FJ9" i="1"/>
  <c r="FJ8" i="1"/>
  <c r="FL10" i="1" l="1"/>
  <c r="FK8" i="1"/>
  <c r="FK9" i="1"/>
  <c r="FM10" i="1" l="1"/>
  <c r="FL8" i="1"/>
  <c r="FL9" i="1"/>
  <c r="FN10" i="1" l="1"/>
  <c r="FM8" i="1"/>
  <c r="FM9" i="1"/>
  <c r="FO10" i="1" l="1"/>
  <c r="FN8" i="1"/>
  <c r="FN9" i="1"/>
  <c r="FP10" i="1" l="1"/>
  <c r="FO9" i="1"/>
  <c r="FO8" i="1"/>
  <c r="FQ10" i="1" l="1"/>
  <c r="FP8" i="1"/>
  <c r="FP9" i="1"/>
  <c r="FR10" i="1" l="1"/>
  <c r="FQ9" i="1"/>
  <c r="FQ8" i="1"/>
  <c r="FS10" i="1" l="1"/>
  <c r="FR9" i="1"/>
  <c r="FR8" i="1"/>
  <c r="FT10" i="1" l="1"/>
  <c r="FS8" i="1"/>
  <c r="FS9" i="1"/>
  <c r="FU10" i="1" l="1"/>
  <c r="FT9" i="1"/>
  <c r="FT8" i="1"/>
  <c r="FV10" i="1" l="1"/>
  <c r="FU8" i="1"/>
  <c r="FU9" i="1"/>
  <c r="FW10" i="1" l="1"/>
  <c r="FV8" i="1"/>
  <c r="FV9" i="1"/>
  <c r="FX10" i="1" l="1"/>
  <c r="FW8" i="1"/>
  <c r="FW9" i="1"/>
  <c r="FY10" i="1" l="1"/>
  <c r="FX8" i="1"/>
  <c r="FX9" i="1"/>
  <c r="FZ10" i="1" l="1"/>
  <c r="FY9" i="1"/>
  <c r="FY8" i="1"/>
  <c r="GA10" i="1" l="1"/>
  <c r="FZ9" i="1"/>
  <c r="FZ8" i="1"/>
  <c r="GB10" i="1" l="1"/>
  <c r="GA8" i="1"/>
  <c r="GA9" i="1"/>
  <c r="GC10" i="1" l="1"/>
  <c r="GB9" i="1"/>
  <c r="GB8" i="1"/>
  <c r="GD10" i="1" l="1"/>
  <c r="GC8" i="1"/>
  <c r="GC9" i="1"/>
  <c r="GE10" i="1" l="1"/>
  <c r="GD8" i="1"/>
  <c r="GD9" i="1"/>
  <c r="GF10" i="1" l="1"/>
  <c r="GE9" i="1"/>
  <c r="GE8" i="1"/>
  <c r="GG10" i="1" l="1"/>
  <c r="GF8" i="1"/>
  <c r="GF9" i="1"/>
  <c r="GH10" i="1" l="1"/>
  <c r="GG9" i="1"/>
  <c r="GG8" i="1"/>
  <c r="GI10" i="1" l="1"/>
  <c r="GH8" i="1"/>
  <c r="GH9" i="1"/>
  <c r="GJ10" i="1" l="1"/>
  <c r="GI8" i="1"/>
  <c r="GI9" i="1"/>
  <c r="GK10" i="1" l="1"/>
  <c r="GJ9" i="1"/>
  <c r="GJ8" i="1"/>
  <c r="GL10" i="1" l="1"/>
  <c r="GK8" i="1"/>
  <c r="GK9" i="1"/>
  <c r="GM10" i="1" l="1"/>
  <c r="GL8" i="1"/>
  <c r="GL9" i="1"/>
  <c r="GN10" i="1" l="1"/>
  <c r="GM9" i="1"/>
  <c r="GM8" i="1"/>
  <c r="GO10" i="1" l="1"/>
  <c r="GN8" i="1"/>
  <c r="GN9" i="1"/>
  <c r="GP10" i="1" l="1"/>
  <c r="GO9" i="1"/>
  <c r="GO8" i="1"/>
  <c r="GQ10" i="1" l="1"/>
  <c r="GP9" i="1"/>
  <c r="GP8" i="1"/>
  <c r="GR10" i="1" l="1"/>
  <c r="GQ8" i="1"/>
  <c r="GQ9" i="1"/>
  <c r="GS10" i="1" l="1"/>
  <c r="GR8" i="1"/>
  <c r="GR9" i="1"/>
  <c r="GT10" i="1" l="1"/>
  <c r="GS8" i="1"/>
  <c r="GS9" i="1"/>
  <c r="GU10" i="1" l="1"/>
  <c r="GT8" i="1"/>
  <c r="GT9" i="1"/>
  <c r="GV10" i="1" l="1"/>
  <c r="GU9" i="1"/>
  <c r="GU8" i="1"/>
  <c r="GW10" i="1" l="1"/>
  <c r="GV8" i="1"/>
  <c r="GV9" i="1"/>
  <c r="GX10" i="1" l="1"/>
  <c r="GW9" i="1"/>
  <c r="GW8" i="1"/>
  <c r="GY10" i="1" l="1"/>
  <c r="GX9" i="1"/>
  <c r="GX8" i="1"/>
  <c r="GZ10" i="1" l="1"/>
  <c r="GY8" i="1"/>
  <c r="GY9" i="1"/>
  <c r="HA10" i="1" l="1"/>
  <c r="GZ9" i="1"/>
  <c r="GZ8" i="1"/>
  <c r="HB10" i="1" l="1"/>
  <c r="HA8" i="1"/>
  <c r="HA9" i="1"/>
  <c r="HC10" i="1" l="1"/>
  <c r="HB8" i="1"/>
  <c r="HB9" i="1"/>
  <c r="HD10" i="1" l="1"/>
  <c r="HC8" i="1"/>
  <c r="HC9" i="1"/>
  <c r="HE10" i="1" l="1"/>
  <c r="HD8" i="1"/>
  <c r="HD9" i="1"/>
  <c r="HF10" i="1" l="1"/>
  <c r="HE9" i="1"/>
  <c r="HE8" i="1"/>
  <c r="HG10" i="1" l="1"/>
  <c r="HF9" i="1"/>
  <c r="HF8" i="1"/>
  <c r="HH10" i="1" l="1"/>
  <c r="HG8" i="1"/>
  <c r="HG9" i="1"/>
  <c r="HI10" i="1" l="1"/>
  <c r="HH9" i="1"/>
  <c r="HH8" i="1"/>
  <c r="HJ10" i="1" l="1"/>
  <c r="HI8" i="1"/>
  <c r="HI9" i="1"/>
  <c r="HK10" i="1" l="1"/>
  <c r="HJ8" i="1"/>
  <c r="HJ9" i="1"/>
  <c r="HL10" i="1" l="1"/>
  <c r="HK9" i="1"/>
  <c r="HK8" i="1"/>
  <c r="HM10" i="1" l="1"/>
  <c r="HL8" i="1"/>
  <c r="HL9" i="1"/>
  <c r="HN10" i="1" l="1"/>
  <c r="HM9" i="1"/>
  <c r="HM8" i="1"/>
  <c r="HO10" i="1" l="1"/>
  <c r="HN8" i="1"/>
  <c r="HN9" i="1"/>
  <c r="HP10" i="1" l="1"/>
  <c r="HO8" i="1"/>
  <c r="HO9" i="1"/>
  <c r="HQ10" i="1" l="1"/>
  <c r="HP9" i="1"/>
  <c r="HP8" i="1"/>
  <c r="HR10" i="1" l="1"/>
  <c r="HQ8" i="1"/>
  <c r="HQ9" i="1"/>
  <c r="HS10" i="1" l="1"/>
  <c r="HR8" i="1"/>
  <c r="HR9" i="1"/>
  <c r="HT10" i="1" l="1"/>
  <c r="HS9" i="1"/>
  <c r="HS8" i="1"/>
  <c r="HU10" i="1" l="1"/>
  <c r="HT9" i="1"/>
  <c r="HT8" i="1"/>
  <c r="HV10" i="1" l="1"/>
  <c r="HU9" i="1"/>
  <c r="HU8" i="1"/>
  <c r="HW10" i="1" l="1"/>
  <c r="HV9" i="1"/>
  <c r="HV8" i="1"/>
  <c r="HX10" i="1" l="1"/>
  <c r="HW8" i="1"/>
  <c r="HW9" i="1"/>
  <c r="HY10" i="1" l="1"/>
  <c r="HX8" i="1"/>
  <c r="HX9" i="1"/>
  <c r="HZ10" i="1" l="1"/>
  <c r="HY8" i="1"/>
  <c r="HY9" i="1"/>
  <c r="IA10" i="1" l="1"/>
  <c r="HZ8" i="1"/>
  <c r="HZ9" i="1"/>
  <c r="IB10" i="1" l="1"/>
  <c r="IA9" i="1"/>
  <c r="IA8" i="1"/>
  <c r="IC10" i="1" l="1"/>
  <c r="IB8" i="1"/>
  <c r="IB9" i="1"/>
  <c r="ID10" i="1" l="1"/>
  <c r="IC9" i="1"/>
  <c r="IC8" i="1"/>
  <c r="IE10" i="1" l="1"/>
  <c r="ID9" i="1"/>
  <c r="ID8" i="1"/>
  <c r="IF10" i="1" l="1"/>
  <c r="IE8" i="1"/>
  <c r="IE9" i="1"/>
  <c r="IG10" i="1" l="1"/>
  <c r="IF9" i="1"/>
  <c r="IF8" i="1"/>
  <c r="IH10" i="1" l="1"/>
  <c r="IG8" i="1"/>
  <c r="IG9" i="1"/>
  <c r="II10" i="1" l="1"/>
  <c r="IH8" i="1"/>
  <c r="IH9" i="1"/>
  <c r="IJ10" i="1" l="1"/>
  <c r="II8" i="1"/>
  <c r="II9" i="1"/>
  <c r="IK10" i="1" l="1"/>
  <c r="IJ8" i="1"/>
  <c r="IJ9" i="1"/>
  <c r="IL10" i="1" l="1"/>
  <c r="IK9" i="1"/>
  <c r="IK8" i="1"/>
  <c r="IM10" i="1" l="1"/>
  <c r="IL9" i="1"/>
  <c r="IL8" i="1"/>
  <c r="IN10" i="1" l="1"/>
  <c r="IM8" i="1"/>
  <c r="IM9" i="1"/>
  <c r="IO10" i="1" l="1"/>
  <c r="IN9" i="1"/>
  <c r="IN8" i="1"/>
  <c r="IP10" i="1" l="1"/>
  <c r="IO8" i="1"/>
  <c r="IO9" i="1"/>
  <c r="IQ10" i="1" l="1"/>
  <c r="IP8" i="1"/>
  <c r="IP9" i="1"/>
  <c r="IR10" i="1" l="1"/>
  <c r="IQ9" i="1"/>
  <c r="IQ8" i="1"/>
  <c r="IS10" i="1" l="1"/>
  <c r="IR8" i="1"/>
  <c r="IR9" i="1"/>
  <c r="IT10" i="1" l="1"/>
  <c r="IS9" i="1"/>
  <c r="IS8" i="1"/>
  <c r="IU10" i="1" l="1"/>
  <c r="IT8" i="1"/>
  <c r="IT9" i="1"/>
  <c r="IV10" i="1" l="1"/>
  <c r="IU8" i="1"/>
  <c r="IU9" i="1"/>
  <c r="IW10" i="1" l="1"/>
  <c r="IV9" i="1"/>
  <c r="IV8" i="1"/>
  <c r="IX10" i="1" l="1"/>
  <c r="IW8" i="1"/>
  <c r="IW9" i="1"/>
  <c r="IY10" i="1" l="1"/>
  <c r="IX8" i="1"/>
  <c r="IX9" i="1"/>
  <c r="IZ10" i="1" l="1"/>
  <c r="IY9" i="1"/>
  <c r="IY8" i="1"/>
  <c r="JA10" i="1" l="1"/>
  <c r="IZ8" i="1"/>
  <c r="IZ9" i="1"/>
  <c r="JB10" i="1" l="1"/>
  <c r="JA9" i="1"/>
  <c r="JA8" i="1"/>
  <c r="JC10" i="1" l="1"/>
  <c r="JB9" i="1"/>
  <c r="JB8" i="1"/>
  <c r="JD10" i="1" l="1"/>
  <c r="JC8" i="1"/>
  <c r="JC9" i="1"/>
  <c r="JE10" i="1" l="1"/>
  <c r="JD8" i="1"/>
  <c r="JD9" i="1"/>
  <c r="JF10" i="1" l="1"/>
  <c r="JE8" i="1"/>
  <c r="JE9" i="1"/>
  <c r="JG10" i="1" l="1"/>
  <c r="JF8" i="1"/>
  <c r="JF9" i="1"/>
  <c r="JH10" i="1" l="1"/>
  <c r="JG9" i="1"/>
  <c r="JG8" i="1"/>
  <c r="JI10" i="1" l="1"/>
  <c r="JH8" i="1"/>
  <c r="JH9" i="1"/>
  <c r="JJ10" i="1" l="1"/>
  <c r="JI9" i="1"/>
  <c r="JI8" i="1"/>
  <c r="JK10" i="1" l="1"/>
  <c r="JJ9" i="1"/>
  <c r="JJ8" i="1"/>
  <c r="JL10" i="1" l="1"/>
  <c r="JK8" i="1"/>
  <c r="JK9" i="1"/>
  <c r="JM10" i="1" l="1"/>
  <c r="JL9" i="1"/>
  <c r="JL8" i="1"/>
  <c r="JN10" i="1" l="1"/>
  <c r="JM8" i="1"/>
  <c r="JM9" i="1"/>
  <c r="JO10" i="1" l="1"/>
  <c r="JN8" i="1"/>
  <c r="JN9" i="1"/>
  <c r="JP10" i="1" l="1"/>
  <c r="JO8" i="1"/>
  <c r="JO9" i="1"/>
  <c r="JQ10" i="1" l="1"/>
  <c r="JP8" i="1"/>
  <c r="JP9" i="1"/>
  <c r="JR10" i="1" l="1"/>
  <c r="JQ9" i="1"/>
  <c r="JQ8" i="1"/>
  <c r="JS10" i="1" l="1"/>
  <c r="JR9" i="1"/>
  <c r="JR8" i="1"/>
  <c r="JT10" i="1" l="1"/>
  <c r="JS8" i="1"/>
  <c r="JS9" i="1"/>
  <c r="JU10" i="1" l="1"/>
  <c r="JT9" i="1"/>
  <c r="JT8" i="1"/>
  <c r="JV10" i="1" l="1"/>
  <c r="JU8" i="1"/>
  <c r="JU9" i="1"/>
  <c r="JW10" i="1" l="1"/>
  <c r="JV8" i="1"/>
  <c r="JV9" i="1"/>
  <c r="JX10" i="1" l="1"/>
  <c r="JW9" i="1"/>
  <c r="JW8" i="1"/>
  <c r="JY10" i="1" l="1"/>
  <c r="JX8" i="1"/>
  <c r="JX9" i="1"/>
  <c r="JZ10" i="1" l="1"/>
  <c r="JY9" i="1"/>
  <c r="JY8" i="1"/>
  <c r="KA10" i="1" l="1"/>
  <c r="JZ8" i="1"/>
  <c r="JZ9" i="1"/>
  <c r="KB10" i="1" l="1"/>
  <c r="KA8" i="1"/>
  <c r="KA9" i="1"/>
  <c r="KC10" i="1" l="1"/>
  <c r="KB9" i="1"/>
  <c r="KB8" i="1"/>
  <c r="KD10" i="1" l="1"/>
  <c r="KC8" i="1"/>
  <c r="KC9" i="1"/>
  <c r="KE10" i="1" l="1"/>
  <c r="KD8" i="1"/>
  <c r="KD9" i="1"/>
  <c r="KF10" i="1" l="1"/>
  <c r="KE9" i="1"/>
  <c r="KE8" i="1"/>
  <c r="KG10" i="1" l="1"/>
  <c r="KF8" i="1"/>
  <c r="KF9" i="1"/>
  <c r="KH10" i="1" l="1"/>
  <c r="KG9" i="1"/>
  <c r="KG8" i="1"/>
  <c r="KI10" i="1" l="1"/>
  <c r="KH9" i="1"/>
  <c r="KH8" i="1"/>
  <c r="KJ10" i="1" l="1"/>
  <c r="KI8" i="1"/>
  <c r="KI9" i="1"/>
  <c r="KK10" i="1" l="1"/>
  <c r="KJ8" i="1"/>
  <c r="KJ9" i="1"/>
  <c r="KL10" i="1" l="1"/>
  <c r="KK8" i="1"/>
  <c r="KK9" i="1"/>
  <c r="KM10" i="1" l="1"/>
  <c r="KL8" i="1"/>
  <c r="KL9" i="1"/>
  <c r="KN10" i="1" l="1"/>
  <c r="KM9" i="1"/>
  <c r="KM8" i="1"/>
  <c r="KO10" i="1" l="1"/>
  <c r="KN8" i="1"/>
  <c r="KN9" i="1"/>
  <c r="KP10" i="1" l="1"/>
  <c r="KO9" i="1"/>
  <c r="KO8" i="1"/>
  <c r="KQ10" i="1" l="1"/>
  <c r="KP9" i="1"/>
  <c r="KP8" i="1"/>
  <c r="KR10" i="1" l="1"/>
  <c r="KQ8" i="1"/>
  <c r="KQ9" i="1"/>
  <c r="KS10" i="1" l="1"/>
  <c r="KR9" i="1"/>
  <c r="KR8" i="1"/>
  <c r="KT10" i="1" l="1"/>
  <c r="KS8" i="1"/>
  <c r="KS9" i="1"/>
  <c r="KU10" i="1" l="1"/>
  <c r="KT8" i="1"/>
  <c r="KT9" i="1"/>
  <c r="KV10" i="1" l="1"/>
  <c r="KU8" i="1"/>
  <c r="KU9" i="1"/>
  <c r="KW10" i="1" l="1"/>
  <c r="KV8" i="1"/>
  <c r="KV9" i="1"/>
  <c r="KX10" i="1" l="1"/>
  <c r="KW9" i="1"/>
  <c r="KW8" i="1"/>
  <c r="KY10" i="1" l="1"/>
  <c r="KX9" i="1"/>
  <c r="KX8" i="1"/>
  <c r="KZ10" i="1" l="1"/>
  <c r="KY8" i="1"/>
  <c r="KY9" i="1"/>
  <c r="LA10" i="1" l="1"/>
  <c r="KZ9" i="1"/>
  <c r="KZ8" i="1"/>
  <c r="LB10" i="1" l="1"/>
  <c r="LA8" i="1"/>
  <c r="LA9" i="1"/>
  <c r="LC10" i="1" l="1"/>
  <c r="LB9" i="1"/>
  <c r="LB8" i="1"/>
  <c r="LD10" i="1" l="1"/>
  <c r="LC9" i="1"/>
  <c r="LC8" i="1"/>
  <c r="LE10" i="1" l="1"/>
  <c r="LD8" i="1"/>
  <c r="LD9" i="1"/>
  <c r="LF10" i="1" l="1"/>
  <c r="LE8" i="1"/>
  <c r="LE9" i="1"/>
  <c r="LG10" i="1" l="1"/>
  <c r="LF8" i="1"/>
  <c r="LF9" i="1"/>
  <c r="LH10" i="1" l="1"/>
  <c r="LG9" i="1"/>
  <c r="LG8" i="1"/>
  <c r="LI10" i="1" l="1"/>
  <c r="LH9" i="1"/>
  <c r="LH8" i="1"/>
  <c r="LJ10" i="1" l="1"/>
  <c r="LI8" i="1"/>
  <c r="LI9" i="1"/>
  <c r="LK10" i="1" l="1"/>
  <c r="LJ8" i="1"/>
  <c r="LJ9" i="1"/>
  <c r="LL10" i="1" l="1"/>
  <c r="LK9" i="1"/>
  <c r="LK8" i="1"/>
  <c r="LM10" i="1" l="1"/>
  <c r="LL8" i="1"/>
  <c r="LL9" i="1"/>
  <c r="LN10" i="1" l="1"/>
  <c r="LM8" i="1"/>
  <c r="LM9" i="1"/>
  <c r="LO10" i="1" l="1"/>
  <c r="LN8" i="1"/>
  <c r="LN9" i="1"/>
  <c r="LP10" i="1" l="1"/>
  <c r="LO8" i="1"/>
  <c r="LO9" i="1"/>
  <c r="LQ10" i="1" l="1"/>
  <c r="LP8" i="1"/>
  <c r="LP9" i="1"/>
  <c r="LR10" i="1" l="1"/>
  <c r="LQ8" i="1"/>
  <c r="LQ9" i="1"/>
  <c r="LS10" i="1" l="1"/>
  <c r="LR8" i="1"/>
  <c r="LR9" i="1"/>
  <c r="LT10" i="1" l="1"/>
  <c r="LS9" i="1"/>
  <c r="LS8" i="1"/>
  <c r="LU10" i="1" l="1"/>
  <c r="LT8" i="1"/>
  <c r="LT9" i="1"/>
  <c r="LV10" i="1" l="1"/>
  <c r="LU8" i="1"/>
  <c r="LU9" i="1"/>
  <c r="LW10" i="1" l="1"/>
  <c r="LV9" i="1"/>
  <c r="LV8" i="1"/>
  <c r="LX10" i="1" l="1"/>
  <c r="LW9" i="1"/>
  <c r="LW8" i="1"/>
  <c r="LY10" i="1" l="1"/>
  <c r="LX8" i="1"/>
  <c r="LX9" i="1"/>
  <c r="LZ10" i="1" l="1"/>
  <c r="LY8" i="1"/>
  <c r="LY9" i="1"/>
  <c r="MA10" i="1" l="1"/>
  <c r="LZ8" i="1"/>
  <c r="LZ9" i="1"/>
  <c r="MB10" i="1" l="1"/>
  <c r="MA8" i="1"/>
  <c r="MA9" i="1"/>
  <c r="MC10" i="1" l="1"/>
  <c r="MB8" i="1"/>
  <c r="MB9" i="1"/>
  <c r="MD10" i="1" l="1"/>
  <c r="MC8" i="1"/>
  <c r="MC9" i="1"/>
  <c r="ME10" i="1" l="1"/>
  <c r="MD9" i="1"/>
  <c r="MD8" i="1"/>
  <c r="MF10" i="1" l="1"/>
  <c r="ME9" i="1"/>
  <c r="ME8" i="1"/>
  <c r="MG10" i="1" l="1"/>
  <c r="MF8" i="1"/>
  <c r="MF9" i="1"/>
  <c r="MH10" i="1" l="1"/>
  <c r="MG8" i="1"/>
  <c r="MG9" i="1"/>
  <c r="MI10" i="1" l="1"/>
  <c r="MH9" i="1"/>
  <c r="MH8" i="1"/>
  <c r="MJ10" i="1" l="1"/>
  <c r="MI9" i="1"/>
  <c r="MI8" i="1"/>
  <c r="MK10" i="1" l="1"/>
  <c r="MJ8" i="1"/>
  <c r="MJ9" i="1"/>
  <c r="ML10" i="1" l="1"/>
  <c r="MK8" i="1"/>
  <c r="MK9" i="1"/>
  <c r="MM10" i="1" l="1"/>
  <c r="ML8" i="1"/>
  <c r="ML9" i="1"/>
  <c r="MN10" i="1" l="1"/>
  <c r="MM9" i="1"/>
  <c r="MM8" i="1"/>
  <c r="MO10" i="1" l="1"/>
  <c r="MN8" i="1"/>
  <c r="MN9" i="1"/>
  <c r="MP10" i="1" l="1"/>
  <c r="MO8" i="1"/>
  <c r="MO9" i="1"/>
  <c r="MQ10" i="1" l="1"/>
  <c r="MP8" i="1"/>
  <c r="MP9" i="1"/>
  <c r="MR10" i="1" l="1"/>
  <c r="MQ9" i="1"/>
  <c r="MQ8" i="1"/>
  <c r="MS10" i="1" l="1"/>
  <c r="MR9" i="1"/>
  <c r="MR8" i="1"/>
  <c r="MT10" i="1" l="1"/>
  <c r="MS8" i="1"/>
  <c r="MS9" i="1"/>
  <c r="MU10" i="1" l="1"/>
  <c r="MT9" i="1"/>
  <c r="MT8" i="1"/>
  <c r="MV10" i="1" l="1"/>
  <c r="MU8" i="1"/>
  <c r="MU9" i="1"/>
  <c r="MW10" i="1" l="1"/>
  <c r="MV9" i="1"/>
  <c r="MV8" i="1"/>
  <c r="MX10" i="1" l="1"/>
  <c r="MW8" i="1"/>
  <c r="MW9" i="1"/>
  <c r="MY10" i="1" l="1"/>
  <c r="MX8" i="1"/>
  <c r="MX9" i="1"/>
  <c r="MZ10" i="1" l="1"/>
  <c r="MY9" i="1"/>
  <c r="MY8" i="1"/>
  <c r="NA10" i="1" l="1"/>
  <c r="MZ8" i="1"/>
  <c r="MZ9" i="1"/>
  <c r="NB10" i="1" l="1"/>
  <c r="NA8" i="1"/>
  <c r="NA9" i="1"/>
  <c r="NC10" i="1" l="1"/>
  <c r="NB8" i="1"/>
  <c r="NB9" i="1"/>
  <c r="ND10" i="1" l="1"/>
  <c r="NC9" i="1"/>
  <c r="NC8" i="1"/>
  <c r="NE10" i="1" l="1"/>
  <c r="ND8" i="1"/>
  <c r="ND9" i="1"/>
  <c r="NF10" i="1" l="1"/>
  <c r="NE8" i="1"/>
  <c r="NE9" i="1"/>
  <c r="NG10" i="1" l="1"/>
  <c r="NF8" i="1"/>
  <c r="NF9" i="1"/>
  <c r="NH10" i="1" l="1"/>
  <c r="NG9" i="1"/>
  <c r="NG8" i="1"/>
  <c r="NI10" i="1" l="1"/>
  <c r="NH8" i="1"/>
  <c r="NH9" i="1"/>
  <c r="NJ10" i="1" l="1"/>
  <c r="NI8" i="1"/>
  <c r="NI9" i="1"/>
  <c r="NK10" i="1" l="1"/>
  <c r="NJ8" i="1"/>
  <c r="NJ9" i="1"/>
  <c r="NL10" i="1" l="1"/>
  <c r="NK9" i="1"/>
  <c r="NK8" i="1"/>
  <c r="NM10" i="1" l="1"/>
  <c r="NL8" i="1"/>
  <c r="NL9" i="1"/>
  <c r="NN10" i="1" l="1"/>
  <c r="NM8" i="1"/>
  <c r="NM9" i="1"/>
  <c r="NO10" i="1" l="1"/>
  <c r="NN9" i="1"/>
  <c r="NN8" i="1"/>
  <c r="NP10" i="1" l="1"/>
  <c r="NO9" i="1"/>
  <c r="NO8" i="1"/>
  <c r="NQ10" i="1" l="1"/>
  <c r="NP8" i="1"/>
  <c r="NP9" i="1"/>
  <c r="NR10" i="1" l="1"/>
  <c r="NQ8" i="1"/>
  <c r="NQ9" i="1"/>
  <c r="NS10" i="1" l="1"/>
  <c r="NR8" i="1"/>
  <c r="NR9" i="1"/>
  <c r="NT10" i="1" l="1"/>
  <c r="NS9" i="1"/>
  <c r="NS8" i="1"/>
  <c r="NU10" i="1" l="1"/>
  <c r="NT8" i="1"/>
  <c r="NT9" i="1"/>
  <c r="NV10" i="1" l="1"/>
  <c r="NU8" i="1"/>
  <c r="NU9" i="1"/>
  <c r="NW10" i="1" l="1"/>
  <c r="NV8" i="1"/>
  <c r="NV9" i="1"/>
  <c r="NX10" i="1" l="1"/>
  <c r="NW9" i="1"/>
  <c r="NW8" i="1"/>
  <c r="NY10" i="1" l="1"/>
  <c r="NX8" i="1"/>
  <c r="NX9" i="1"/>
  <c r="NZ10" i="1" l="1"/>
  <c r="NY8" i="1"/>
  <c r="NY9" i="1"/>
  <c r="OA10" i="1" l="1"/>
  <c r="NZ9" i="1"/>
  <c r="NZ8" i="1"/>
  <c r="OB10" i="1" l="1"/>
  <c r="OA8" i="1"/>
  <c r="OA9" i="1"/>
  <c r="OC10" i="1" l="1"/>
  <c r="OB9" i="1"/>
  <c r="OB8" i="1"/>
  <c r="OD10" i="1" l="1"/>
  <c r="OC8" i="1"/>
  <c r="OC9" i="1"/>
  <c r="OE10" i="1" l="1"/>
  <c r="OD8" i="1"/>
  <c r="OD9" i="1"/>
  <c r="OF10" i="1" l="1"/>
  <c r="OE9" i="1"/>
  <c r="OE8" i="1"/>
  <c r="OG10" i="1" l="1"/>
  <c r="OF8" i="1"/>
  <c r="OF9" i="1"/>
  <c r="OH10" i="1" l="1"/>
  <c r="OG8" i="1"/>
  <c r="OG9" i="1"/>
  <c r="OI10" i="1" l="1"/>
  <c r="OH8" i="1"/>
  <c r="OH9" i="1"/>
  <c r="OJ10" i="1" l="1"/>
  <c r="OI9" i="1"/>
  <c r="OI8" i="1"/>
  <c r="OK10" i="1" l="1"/>
  <c r="OJ8" i="1"/>
  <c r="OJ9" i="1"/>
  <c r="OL10" i="1" l="1"/>
  <c r="OK8" i="1"/>
  <c r="OK9" i="1"/>
  <c r="OM10" i="1" l="1"/>
  <c r="OL8" i="1"/>
  <c r="OL9" i="1"/>
  <c r="ON10" i="1" l="1"/>
  <c r="OM8" i="1"/>
  <c r="OM9" i="1"/>
  <c r="OO10" i="1" l="1"/>
  <c r="ON9" i="1"/>
  <c r="ON8" i="1"/>
  <c r="OP10" i="1" l="1"/>
  <c r="OO9" i="1"/>
  <c r="OO8" i="1"/>
  <c r="OQ10" i="1" l="1"/>
  <c r="OP9" i="1"/>
  <c r="OP8" i="1"/>
  <c r="OR10" i="1" l="1"/>
  <c r="OQ9" i="1"/>
  <c r="OQ8" i="1"/>
  <c r="OS10" i="1" l="1"/>
  <c r="OR8" i="1"/>
  <c r="OR9" i="1"/>
  <c r="OT10" i="1" l="1"/>
  <c r="OS9" i="1"/>
  <c r="OS8" i="1"/>
  <c r="OU10" i="1" l="1"/>
  <c r="OT8" i="1"/>
  <c r="OT9" i="1"/>
  <c r="OV10" i="1" l="1"/>
  <c r="OU9" i="1"/>
  <c r="OU8" i="1"/>
  <c r="OW10" i="1" l="1"/>
  <c r="OV9" i="1"/>
  <c r="OV8" i="1"/>
  <c r="OX10" i="1" l="1"/>
  <c r="OW9" i="1"/>
  <c r="OW8" i="1"/>
  <c r="OY10" i="1" l="1"/>
  <c r="OX9" i="1"/>
  <c r="OX8" i="1"/>
  <c r="OZ10" i="1" l="1"/>
  <c r="OY9" i="1"/>
  <c r="OY8" i="1"/>
  <c r="PA10" i="1" l="1"/>
  <c r="OZ8" i="1"/>
  <c r="OZ9" i="1"/>
  <c r="PB10" i="1" l="1"/>
  <c r="PA8" i="1"/>
  <c r="PA9" i="1"/>
  <c r="PC10" i="1" l="1"/>
  <c r="PB8" i="1"/>
  <c r="PB9" i="1"/>
  <c r="PD10" i="1" l="1"/>
  <c r="PC9" i="1"/>
  <c r="PC8" i="1"/>
  <c r="PE10" i="1" l="1"/>
  <c r="PD8" i="1"/>
  <c r="PD9" i="1"/>
  <c r="PF10" i="1" l="1"/>
  <c r="PE9" i="1"/>
  <c r="PE8" i="1"/>
  <c r="PG10" i="1" l="1"/>
  <c r="PF9" i="1"/>
  <c r="PF8" i="1"/>
  <c r="PH10" i="1" l="1"/>
  <c r="PG9" i="1"/>
  <c r="PG8" i="1"/>
  <c r="PI10" i="1" l="1"/>
  <c r="PH9" i="1"/>
  <c r="PH8" i="1"/>
  <c r="PJ10" i="1" l="1"/>
  <c r="PI8" i="1"/>
  <c r="PI9" i="1"/>
  <c r="PK10" i="1" l="1"/>
  <c r="PJ9" i="1"/>
  <c r="PJ8" i="1"/>
  <c r="PL10" i="1" l="1"/>
  <c r="PK9" i="1"/>
  <c r="PK8" i="1"/>
  <c r="PM10" i="1" l="1"/>
  <c r="PL9" i="1"/>
  <c r="PL8" i="1"/>
  <c r="PN10" i="1" l="1"/>
  <c r="PM9" i="1"/>
  <c r="PM8" i="1"/>
  <c r="PO10" i="1" l="1"/>
  <c r="PN9" i="1"/>
  <c r="PN8" i="1"/>
  <c r="PP10" i="1" l="1"/>
  <c r="PO9" i="1"/>
  <c r="PO8" i="1"/>
  <c r="PQ10" i="1" l="1"/>
  <c r="PP8" i="1"/>
  <c r="PP9" i="1"/>
  <c r="PR10" i="1" l="1"/>
  <c r="PQ8" i="1"/>
  <c r="PQ9" i="1"/>
  <c r="PR9" i="1" l="1"/>
  <c r="PR8" i="1"/>
</calcChain>
</file>

<file path=xl/sharedStrings.xml><?xml version="1.0" encoding="utf-8"?>
<sst xmlns="http://schemas.openxmlformats.org/spreadsheetml/2006/main" count="83" uniqueCount="36">
  <si>
    <t>Type</t>
  </si>
  <si>
    <t>P</t>
  </si>
  <si>
    <t>R</t>
  </si>
  <si>
    <t>P, R</t>
  </si>
  <si>
    <t>Avancement
Tâche
(en %)</t>
  </si>
  <si>
    <t>Durée
(jour)</t>
  </si>
  <si>
    <t>Date
Début</t>
  </si>
  <si>
    <t>Responsable
Tâche</t>
  </si>
  <si>
    <t>Titre de la Tâche</t>
  </si>
  <si>
    <t>Numéro</t>
  </si>
  <si>
    <t>Titre du Projet</t>
  </si>
  <si>
    <t>Date Mise à Jour</t>
  </si>
  <si>
    <t>Statut</t>
  </si>
  <si>
    <t>En cours</t>
  </si>
  <si>
    <t>Terminée</t>
  </si>
  <si>
    <t>Bloquée</t>
  </si>
  <si>
    <t>Non démarrée</t>
  </si>
  <si>
    <t>T</t>
  </si>
  <si>
    <t>% Date
d'avancement</t>
  </si>
  <si>
    <t>Date
Fin
(calculée)</t>
  </si>
  <si>
    <t>Date Début</t>
  </si>
  <si>
    <t>Date Fin calculée</t>
  </si>
  <si>
    <t>Moyenne Avancement</t>
  </si>
  <si>
    <t>Date Fin estimée</t>
  </si>
  <si>
    <t>Semaine Projet</t>
  </si>
  <si>
    <t>jours fériés + CP</t>
  </si>
  <si>
    <t>TBD</t>
  </si>
  <si>
    <t>Phase 1</t>
  </si>
  <si>
    <t>Phase 3</t>
  </si>
  <si>
    <t>Phase 2</t>
  </si>
  <si>
    <t>Stagiaire</t>
  </si>
  <si>
    <t>Date Démarrage Projet</t>
  </si>
  <si>
    <t>Approbateur
Tâche</t>
  </si>
  <si>
    <t>Contributeur
Tâche</t>
  </si>
  <si>
    <t>Informé
Tâche</t>
  </si>
  <si>
    <t>Planification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</si>
</sst>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&quot;/&quot;mm&quot;/&quot;yy"/>
    <numFmt numFmtId="165" formatCode="&quot;$&quot;#,##0.00"/>
    <numFmt numFmtId="166" formatCode="d\.m"/>
    <numFmt numFmtId="167" formatCode="0.0"/>
    <numFmt numFmtId="168" formatCode="dd/mm/yy;@"/>
    <numFmt numFmtId="169" formatCode="dd"/>
    <numFmt numFmtId="170" formatCode="mmmm"/>
  </numFmts>
  <fonts count="22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30"/>
      <color rgb="FF0B5394"/>
      <name val="Arial"/>
      <family val="2"/>
    </font>
    <font>
      <b/>
      <sz val="12"/>
      <color rgb="FF0B5394"/>
      <name val="Arial"/>
      <family val="2"/>
    </font>
    <font>
      <sz val="12"/>
      <color rgb="FF0B5394"/>
      <name val="Arial"/>
      <family val="2"/>
    </font>
    <font>
      <sz val="10"/>
      <color rgb="FF000000"/>
      <name val="Arial"/>
      <family val="2"/>
    </font>
    <font>
      <b/>
      <sz val="10"/>
      <color rgb="FF666666"/>
      <name val="Arial"/>
      <family val="2"/>
    </font>
    <font>
      <sz val="18"/>
      <color rgb="FF000000"/>
      <name val="Arial"/>
      <family val="2"/>
    </font>
    <font>
      <sz val="10"/>
      <color rgb="FF999999"/>
      <name val="Arial"/>
      <family val="2"/>
    </font>
    <font>
      <b/>
      <sz val="11"/>
      <color rgb="FF000000"/>
      <name val="Arial"/>
      <family val="2"/>
    </font>
    <font>
      <sz val="10"/>
      <color rgb="FF434343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2"/>
      <color rgb="FF000000"/>
      <name val="Arial"/>
      <family val="2"/>
    </font>
    <font>
      <sz val="10"/>
      <color rgb="FF434343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89">
    <xf numFmtId="0" fontId="0" fillId="0" borderId="0" xfId="0" applyFont="1" applyAlignment="1"/>
    <xf numFmtId="0" fontId="3" fillId="0" borderId="0" xfId="0" applyFont="1" applyAlignment="1">
      <alignment vertical="center"/>
    </xf>
    <xf numFmtId="0" fontId="7" fillId="0" borderId="0" xfId="0" applyFont="1" applyAlignment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Alignment="1">
      <alignment vertical="center"/>
    </xf>
    <xf numFmtId="167" fontId="12" fillId="0" borderId="5" xfId="0" applyNumberFormat="1" applyFont="1" applyBorder="1" applyAlignment="1">
      <alignment horizontal="left" vertical="center" wrapText="1"/>
    </xf>
    <xf numFmtId="166" fontId="12" fillId="0" borderId="5" xfId="0" applyNumberFormat="1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166" fontId="12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7" fillId="7" borderId="0" xfId="0" applyFont="1" applyFill="1" applyAlignment="1"/>
    <xf numFmtId="0" fontId="7" fillId="8" borderId="0" xfId="0" applyFont="1" applyFill="1" applyAlignment="1"/>
    <xf numFmtId="0" fontId="1" fillId="6" borderId="0" xfId="0" applyFont="1" applyFill="1" applyAlignment="1"/>
    <xf numFmtId="0" fontId="1" fillId="0" borderId="0" xfId="0" applyFont="1" applyBorder="1" applyAlignment="1"/>
    <xf numFmtId="169" fontId="13" fillId="5" borderId="0" xfId="0" applyNumberFormat="1" applyFont="1" applyFill="1" applyBorder="1" applyAlignment="1">
      <alignment horizontal="center" vertical="center"/>
    </xf>
    <xf numFmtId="170" fontId="15" fillId="4" borderId="3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vertical="center"/>
    </xf>
    <xf numFmtId="167" fontId="11" fillId="10" borderId="4" xfId="0" applyNumberFormat="1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vertical="center"/>
    </xf>
    <xf numFmtId="0" fontId="11" fillId="10" borderId="4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7" fillId="9" borderId="0" xfId="0" applyFont="1" applyFill="1" applyAlignment="1"/>
    <xf numFmtId="0" fontId="1" fillId="9" borderId="0" xfId="0" applyFont="1" applyFill="1" applyAlignment="1">
      <alignment vertical="center"/>
    </xf>
    <xf numFmtId="167" fontId="11" fillId="9" borderId="4" xfId="0" applyNumberFormat="1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 wrapText="1"/>
    </xf>
    <xf numFmtId="167" fontId="14" fillId="9" borderId="0" xfId="0" applyNumberFormat="1" applyFont="1" applyFill="1" applyAlignment="1">
      <alignment horizontal="left" vertical="center"/>
    </xf>
    <xf numFmtId="0" fontId="14" fillId="9" borderId="0" xfId="0" applyFont="1" applyFill="1" applyAlignment="1">
      <alignment vertical="center"/>
    </xf>
    <xf numFmtId="0" fontId="1" fillId="0" borderId="1" xfId="0" applyFont="1" applyBorder="1"/>
    <xf numFmtId="0" fontId="9" fillId="0" borderId="0" xfId="0" applyFont="1" applyBorder="1" applyAlignment="1">
      <alignment vertical="center"/>
    </xf>
    <xf numFmtId="0" fontId="1" fillId="0" borderId="0" xfId="0" applyFont="1" applyBorder="1"/>
    <xf numFmtId="9" fontId="12" fillId="0" borderId="5" xfId="1" applyFont="1" applyFill="1" applyBorder="1" applyAlignment="1">
      <alignment horizontal="center" vertical="center" wrapText="1"/>
    </xf>
    <xf numFmtId="9" fontId="11" fillId="10" borderId="4" xfId="1" applyFont="1" applyFill="1" applyBorder="1" applyAlignment="1">
      <alignment horizontal="center" vertical="center" wrapText="1"/>
    </xf>
    <xf numFmtId="170" fontId="15" fillId="4" borderId="6" xfId="0" applyNumberFormat="1" applyFont="1" applyFill="1" applyBorder="1" applyAlignment="1">
      <alignment horizontal="center" vertical="center"/>
    </xf>
    <xf numFmtId="170" fontId="15" fillId="4" borderId="7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165" fontId="11" fillId="9" borderId="13" xfId="0" applyNumberFormat="1" applyFont="1" applyFill="1" applyBorder="1" applyAlignment="1">
      <alignment horizontal="center" vertical="center"/>
    </xf>
    <xf numFmtId="3" fontId="11" fillId="9" borderId="13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vertical="center"/>
    </xf>
    <xf numFmtId="0" fontId="7" fillId="9" borderId="13" xfId="0" applyFont="1" applyFill="1" applyBorder="1" applyAlignment="1"/>
    <xf numFmtId="9" fontId="13" fillId="0" borderId="13" xfId="0" applyNumberFormat="1" applyFont="1" applyFill="1" applyBorder="1" applyAlignment="1">
      <alignment horizontal="center" vertical="center"/>
    </xf>
    <xf numFmtId="165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7" fillId="0" borderId="13" xfId="0" applyFont="1" applyFill="1" applyBorder="1" applyAlignment="1"/>
    <xf numFmtId="0" fontId="3" fillId="0" borderId="13" xfId="0" applyFont="1" applyFill="1" applyBorder="1" applyAlignment="1">
      <alignment vertical="center"/>
    </xf>
    <xf numFmtId="168" fontId="11" fillId="10" borderId="0" xfId="1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9" fontId="17" fillId="0" borderId="0" xfId="0" applyNumberFormat="1" applyFont="1" applyBorder="1" applyAlignment="1">
      <alignment horizontal="center" vertical="center"/>
    </xf>
    <xf numFmtId="14" fontId="17" fillId="0" borderId="0" xfId="0" applyNumberFormat="1" applyFont="1" applyBorder="1" applyAlignment="1">
      <alignment horizontal="center" vertical="center"/>
    </xf>
    <xf numFmtId="168" fontId="11" fillId="10" borderId="4" xfId="0" applyNumberFormat="1" applyFont="1" applyFill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14" fontId="0" fillId="0" borderId="0" xfId="0" applyNumberFormat="1" applyFont="1" applyAlignment="1"/>
    <xf numFmtId="167" fontId="21" fillId="0" borderId="5" xfId="0" applyNumberFormat="1" applyFont="1" applyBorder="1" applyAlignment="1">
      <alignment horizontal="left" vertical="center" wrapText="1"/>
    </xf>
    <xf numFmtId="166" fontId="21" fillId="0" borderId="5" xfId="0" applyNumberFormat="1" applyFont="1" applyBorder="1" applyAlignment="1">
      <alignment horizontal="left" vertical="center" wrapText="1"/>
    </xf>
    <xf numFmtId="0" fontId="21" fillId="0" borderId="5" xfId="0" applyFont="1" applyBorder="1" applyAlignment="1">
      <alignment vertical="center" wrapText="1"/>
    </xf>
    <xf numFmtId="49" fontId="21" fillId="0" borderId="5" xfId="0" applyNumberFormat="1" applyFont="1" applyBorder="1" applyAlignment="1">
      <alignment horizontal="left" vertical="center" wrapText="1"/>
    </xf>
    <xf numFmtId="14" fontId="17" fillId="6" borderId="0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0" fontId="13" fillId="3" borderId="0" xfId="0" applyFont="1" applyFill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" fillId="0" borderId="8" xfId="0" applyFont="1" applyBorder="1"/>
    <xf numFmtId="0" fontId="8" fillId="0" borderId="2" xfId="0" applyFont="1" applyBorder="1" applyAlignment="1">
      <alignment horizontal="left" vertical="center"/>
    </xf>
    <xf numFmtId="0" fontId="1" fillId="0" borderId="2" xfId="0" applyFont="1" applyBorder="1"/>
    <xf numFmtId="14" fontId="1" fillId="0" borderId="2" xfId="0" applyNumberFormat="1" applyFont="1" applyBorder="1" applyAlignment="1">
      <alignment horizontal="left" vertical="center"/>
    </xf>
    <xf numFmtId="14" fontId="1" fillId="0" borderId="2" xfId="0" applyNumberFormat="1" applyFont="1" applyBorder="1"/>
    <xf numFmtId="0" fontId="6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9" fillId="2" borderId="2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4" fontId="9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 vertical="center"/>
    </xf>
    <xf numFmtId="1" fontId="1" fillId="0" borderId="2" xfId="0" applyNumberFormat="1" applyFont="1" applyBorder="1"/>
    <xf numFmtId="0" fontId="20" fillId="0" borderId="9" xfId="0" applyFont="1" applyBorder="1" applyAlignment="1">
      <alignment horizontal="left" vertical="center"/>
    </xf>
  </cellXfs>
  <cellStyles count="2">
    <cellStyle name="Normal" xfId="0" builtinId="0"/>
    <cellStyle name="Pourcentage" xfId="1" builtinId="5"/>
  </cellStyles>
  <dxfs count="29"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6" fmlaLink="week" horiz="1" max="100" min="1" page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</xdr:colOff>
          <xdr:row>4</xdr:row>
          <xdr:rowOff>259080</xdr:rowOff>
        </xdr:from>
        <xdr:to>
          <xdr:col>32</xdr:col>
          <xdr:colOff>68580</xdr:colOff>
          <xdr:row>6</xdr:row>
          <xdr:rowOff>60960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D85C6"/>
    <outlinePr summaryBelow="0" summaryRight="0"/>
  </sheetPr>
  <dimension ref="A1:PR36"/>
  <sheetViews>
    <sheetView showGridLines="0" tabSelected="1" zoomScale="90" zoomScaleNormal="90" workbookViewId="0">
      <selection activeCell="H12" sqref="H12"/>
    </sheetView>
  </sheetViews>
  <sheetFormatPr baseColWidth="10" defaultColWidth="14.44140625" defaultRowHeight="15.75" customHeight="1" outlineLevelRow="1"/>
  <cols>
    <col min="1" max="1" width="2.33203125" style="2" bestFit="1" customWidth="1"/>
    <col min="2" max="2" width="7.88671875" style="2" bestFit="1" customWidth="1"/>
    <col min="3" max="3" width="9.6640625" style="2" bestFit="1" customWidth="1"/>
    <col min="4" max="4" width="37.88671875" style="2" bestFit="1" customWidth="1"/>
    <col min="5" max="5" width="12.21875" style="2" bestFit="1" customWidth="1"/>
    <col min="6" max="8" width="12.21875" style="2" customWidth="1"/>
    <col min="9" max="9" width="8.77734375" style="2" bestFit="1" customWidth="1"/>
    <col min="10" max="10" width="12.109375" style="12" bestFit="1" customWidth="1"/>
    <col min="11" max="11" width="13.77734375" style="2" bestFit="1" customWidth="1"/>
    <col min="12" max="12" width="16.109375" style="2" bestFit="1" customWidth="1"/>
    <col min="13" max="13" width="17.44140625" style="2" bestFit="1" customWidth="1"/>
    <col min="14" max="14" width="7.33203125" style="2" bestFit="1" customWidth="1"/>
    <col min="15" max="434" width="3" style="2" bestFit="1" customWidth="1"/>
    <col min="435" max="16384" width="14.44140625" style="2"/>
  </cols>
  <sheetData>
    <row r="1" spans="1:434" ht="37.799999999999997">
      <c r="A1" s="1"/>
      <c r="B1" s="82" t="s">
        <v>35</v>
      </c>
      <c r="C1" s="82"/>
      <c r="D1" s="79"/>
      <c r="E1" s="79"/>
      <c r="F1" s="79"/>
      <c r="G1" s="79"/>
      <c r="H1" s="79"/>
      <c r="I1" s="79"/>
      <c r="J1" s="79"/>
      <c r="K1" s="79"/>
      <c r="L1" s="79"/>
      <c r="M1" s="34"/>
      <c r="N1" s="83"/>
      <c r="O1" s="79"/>
      <c r="P1" s="79"/>
      <c r="Q1" s="79"/>
      <c r="R1" s="79"/>
      <c r="S1" s="78"/>
      <c r="T1" s="79"/>
      <c r="U1" s="79"/>
      <c r="V1" s="79"/>
      <c r="W1" s="79"/>
      <c r="X1" s="79"/>
      <c r="Y1" s="79"/>
      <c r="Z1" s="79"/>
      <c r="AA1" s="79"/>
      <c r="AB1" s="79"/>
      <c r="AC1" s="79"/>
      <c r="AD1" s="1"/>
    </row>
    <row r="2" spans="1:434" ht="28.8" customHeight="1">
      <c r="A2" s="1"/>
      <c r="B2" s="74" t="s">
        <v>10</v>
      </c>
      <c r="C2" s="74"/>
      <c r="D2" s="75"/>
      <c r="E2" s="80" t="s">
        <v>26</v>
      </c>
      <c r="F2" s="80"/>
      <c r="G2" s="80"/>
      <c r="H2" s="80"/>
      <c r="I2" s="75"/>
      <c r="J2" s="75"/>
      <c r="K2" s="75"/>
      <c r="L2" s="3"/>
      <c r="M2" s="3"/>
      <c r="N2" s="74"/>
      <c r="O2" s="75"/>
      <c r="P2" s="75"/>
      <c r="Q2" s="75"/>
      <c r="R2" s="75"/>
      <c r="S2" s="75"/>
      <c r="T2" s="81"/>
      <c r="U2" s="75"/>
      <c r="V2" s="75"/>
      <c r="W2" s="75"/>
      <c r="X2" s="75"/>
      <c r="Y2" s="75"/>
      <c r="Z2" s="75"/>
      <c r="AA2" s="75"/>
      <c r="AB2" s="75"/>
      <c r="AC2" s="75"/>
      <c r="AD2" s="1"/>
    </row>
    <row r="3" spans="1:434" ht="21" customHeight="1">
      <c r="A3" s="1"/>
      <c r="B3" s="74" t="s">
        <v>31</v>
      </c>
      <c r="C3" s="74"/>
      <c r="D3" s="75"/>
      <c r="E3" s="84">
        <v>45916</v>
      </c>
      <c r="F3" s="84"/>
      <c r="G3" s="84"/>
      <c r="H3" s="84"/>
      <c r="I3" s="85"/>
      <c r="J3" s="85"/>
      <c r="K3" s="85"/>
      <c r="L3" s="4"/>
      <c r="M3" s="4"/>
      <c r="N3" s="74" t="s">
        <v>11</v>
      </c>
      <c r="O3" s="75"/>
      <c r="P3" s="75"/>
      <c r="Q3" s="75"/>
      <c r="R3" s="75"/>
      <c r="S3" s="75"/>
      <c r="T3" s="76">
        <v>45916</v>
      </c>
      <c r="U3" s="77"/>
      <c r="V3" s="77"/>
      <c r="W3" s="77"/>
      <c r="X3" s="77"/>
      <c r="Y3" s="77"/>
      <c r="Z3" s="77"/>
      <c r="AA3" s="77"/>
      <c r="AB3" s="77"/>
      <c r="AC3" s="77"/>
      <c r="AD3" s="1"/>
    </row>
    <row r="4" spans="1:434" ht="21" customHeight="1">
      <c r="A4" s="1"/>
      <c r="B4" s="72" t="s">
        <v>30</v>
      </c>
      <c r="C4" s="72"/>
      <c r="D4" s="73"/>
      <c r="E4" s="88" t="s">
        <v>26</v>
      </c>
      <c r="F4" s="88"/>
      <c r="G4" s="88"/>
      <c r="H4" s="88"/>
      <c r="I4" s="88"/>
      <c r="J4" s="88"/>
      <c r="K4" s="88"/>
      <c r="L4" s="88"/>
      <c r="M4" s="88"/>
      <c r="N4" s="74" t="s">
        <v>24</v>
      </c>
      <c r="O4" s="75"/>
      <c r="P4" s="75"/>
      <c r="Q4" s="75"/>
      <c r="R4" s="75"/>
      <c r="S4" s="75"/>
      <c r="T4" s="86">
        <v>1</v>
      </c>
      <c r="U4" s="87"/>
      <c r="V4" s="87"/>
      <c r="W4" s="87"/>
      <c r="X4" s="87"/>
      <c r="Y4" s="87"/>
      <c r="Z4" s="87"/>
      <c r="AA4" s="87"/>
      <c r="AB4" s="87"/>
      <c r="AC4" s="87"/>
      <c r="AD4" s="1"/>
    </row>
    <row r="5" spans="1:434" ht="21" customHeight="1">
      <c r="A5" s="1"/>
      <c r="B5" s="70" t="s">
        <v>20</v>
      </c>
      <c r="C5" s="70"/>
      <c r="D5" s="60">
        <v>45916</v>
      </c>
      <c r="E5" s="70" t="s">
        <v>22</v>
      </c>
      <c r="F5" s="70"/>
      <c r="G5" s="70"/>
      <c r="H5" s="70"/>
      <c r="I5" s="70"/>
      <c r="J5" s="59">
        <f>AVERAGE(L11,L22,L29)</f>
        <v>0</v>
      </c>
      <c r="M5" s="17"/>
      <c r="N5" s="41"/>
      <c r="P5" s="42"/>
      <c r="Q5" s="42"/>
      <c r="R5" s="42"/>
      <c r="S5" s="35"/>
      <c r="T5" s="17"/>
      <c r="U5" s="5"/>
      <c r="V5" s="5"/>
      <c r="W5" s="5"/>
      <c r="X5" s="5"/>
      <c r="Y5" s="5"/>
      <c r="Z5" s="5"/>
      <c r="AA5" s="5"/>
      <c r="AB5" s="5"/>
      <c r="AC5" s="5"/>
      <c r="AD5" s="1"/>
    </row>
    <row r="6" spans="1:434" ht="21" customHeight="1">
      <c r="A6" s="1"/>
      <c r="B6" s="70" t="s">
        <v>21</v>
      </c>
      <c r="C6" s="70"/>
      <c r="D6" s="68"/>
      <c r="E6" s="70" t="s">
        <v>23</v>
      </c>
      <c r="F6" s="70"/>
      <c r="G6" s="70"/>
      <c r="H6" s="70"/>
      <c r="I6" s="70"/>
      <c r="J6" s="60">
        <f>D5+J5*(D6-D5)</f>
        <v>45916</v>
      </c>
      <c r="K6" s="58"/>
      <c r="L6" s="17"/>
      <c r="M6" s="17"/>
      <c r="O6" s="41"/>
      <c r="P6" s="42"/>
      <c r="Q6" s="42"/>
      <c r="R6" s="42"/>
      <c r="S6" s="35"/>
      <c r="T6" s="17"/>
      <c r="U6" s="36"/>
      <c r="V6" s="36"/>
      <c r="W6" s="36"/>
      <c r="X6" s="36"/>
      <c r="Y6" s="36"/>
      <c r="Z6" s="36"/>
      <c r="AA6" s="36"/>
      <c r="AB6" s="36"/>
      <c r="AC6" s="36"/>
      <c r="AD6" s="1"/>
    </row>
    <row r="7" spans="1:434" ht="13.8" customHeight="1">
      <c r="A7" s="1"/>
      <c r="J7" s="2"/>
      <c r="O7" s="41"/>
      <c r="P7" s="42"/>
      <c r="Q7" s="42"/>
      <c r="R7" s="42"/>
      <c r="S7" s="35"/>
      <c r="T7" s="17"/>
      <c r="U7" s="36"/>
      <c r="V7" s="36"/>
      <c r="W7" s="36"/>
      <c r="X7" s="36"/>
      <c r="Y7" s="36"/>
      <c r="Z7" s="36"/>
      <c r="AA7" s="36"/>
      <c r="AB7" s="36"/>
      <c r="AC7" s="36"/>
      <c r="AD7" s="1"/>
    </row>
    <row r="8" spans="1:434" ht="23.4" customHeight="1">
      <c r="A8" s="13"/>
      <c r="B8" s="71" t="s">
        <v>9</v>
      </c>
      <c r="C8" s="71" t="s">
        <v>0</v>
      </c>
      <c r="D8" s="71" t="s">
        <v>8</v>
      </c>
      <c r="E8" s="71" t="s">
        <v>7</v>
      </c>
      <c r="F8" s="71" t="s">
        <v>32</v>
      </c>
      <c r="G8" s="71" t="s">
        <v>33</v>
      </c>
      <c r="H8" s="71" t="s">
        <v>34</v>
      </c>
      <c r="I8" s="71" t="s">
        <v>6</v>
      </c>
      <c r="J8" s="71" t="s">
        <v>5</v>
      </c>
      <c r="K8" s="71" t="s">
        <v>19</v>
      </c>
      <c r="L8" s="69" t="s">
        <v>4</v>
      </c>
      <c r="M8" s="69" t="s">
        <v>18</v>
      </c>
      <c r="N8" s="19" t="str">
        <f>IF(AND(DAY(N10)&gt;=15-ROUNDDOWN(LEN(TEXT(N10,"mmmm aaa"))/2,2),DAY(N10)&lt;15+ROUNDUP(LEN(TEXT(N10,"mmmm aaa"))/2,2)),MID(UPPER(TEXT(N10,"mmmm aaa")),DAY(N10)+1-(15-ROUNDDOWN(LEN(TEXT(N10,"mmmm aaa"))/2,2)),1),"")</f>
        <v>R</v>
      </c>
      <c r="O8" s="39" t="str">
        <f t="shared" ref="O8:BZ8" si="0">IF(AND(DAY(O10)&gt;=15-ROUNDDOWN(LEN(TEXT(O10,"mmmm aaa"))/2,2),DAY(O10)&lt;15+ROUNDUP(LEN(TEXT(O10,"mmmm aaa"))/2,2)),MID(UPPER(TEXT(O10,"mmmm aaa")),DAY(O10)+1-(15-ROUNDDOWN(LEN(TEXT(O10,"mmmm aaa"))/2,2)),1),"")</f>
        <v>E</v>
      </c>
      <c r="P8" s="39" t="str">
        <f t="shared" si="0"/>
        <v xml:space="preserve"> </v>
      </c>
      <c r="Q8" s="39" t="str">
        <f t="shared" si="0"/>
        <v>2</v>
      </c>
      <c r="R8" s="39" t="str">
        <f t="shared" si="0"/>
        <v>0</v>
      </c>
      <c r="S8" s="39" t="str">
        <f t="shared" si="0"/>
        <v>2</v>
      </c>
      <c r="T8" s="39" t="str">
        <f t="shared" si="0"/>
        <v>5</v>
      </c>
      <c r="U8" s="39" t="str">
        <f t="shared" si="0"/>
        <v/>
      </c>
      <c r="V8" s="39" t="str">
        <f t="shared" si="0"/>
        <v/>
      </c>
      <c r="W8" s="39" t="str">
        <f t="shared" si="0"/>
        <v/>
      </c>
      <c r="X8" s="39" t="str">
        <f t="shared" si="0"/>
        <v/>
      </c>
      <c r="Y8" s="39" t="str">
        <f t="shared" si="0"/>
        <v/>
      </c>
      <c r="Z8" s="39" t="str">
        <f t="shared" si="0"/>
        <v/>
      </c>
      <c r="AA8" s="39" t="str">
        <f t="shared" si="0"/>
        <v/>
      </c>
      <c r="AB8" s="39" t="str">
        <f t="shared" si="0"/>
        <v/>
      </c>
      <c r="AC8" s="39" t="str">
        <f t="shared" si="0"/>
        <v/>
      </c>
      <c r="AD8" s="39" t="str">
        <f t="shared" si="0"/>
        <v/>
      </c>
      <c r="AE8" s="39" t="str">
        <f t="shared" si="0"/>
        <v/>
      </c>
      <c r="AF8" s="39" t="str">
        <f t="shared" si="0"/>
        <v/>
      </c>
      <c r="AG8" s="39" t="str">
        <f t="shared" si="0"/>
        <v/>
      </c>
      <c r="AH8" s="39" t="str">
        <f t="shared" si="0"/>
        <v/>
      </c>
      <c r="AI8" s="39" t="str">
        <f t="shared" si="0"/>
        <v/>
      </c>
      <c r="AJ8" s="39" t="str">
        <f t="shared" si="0"/>
        <v/>
      </c>
      <c r="AK8" s="39" t="str">
        <f t="shared" si="0"/>
        <v/>
      </c>
      <c r="AL8" s="39" t="str">
        <f t="shared" si="0"/>
        <v>O</v>
      </c>
      <c r="AM8" s="39" t="str">
        <f t="shared" si="0"/>
        <v>C</v>
      </c>
      <c r="AN8" s="39" t="str">
        <f t="shared" si="0"/>
        <v>T</v>
      </c>
      <c r="AO8" s="39" t="str">
        <f t="shared" si="0"/>
        <v>O</v>
      </c>
      <c r="AP8" s="39" t="str">
        <f t="shared" si="0"/>
        <v>B</v>
      </c>
      <c r="AQ8" s="39" t="str">
        <f t="shared" si="0"/>
        <v>R</v>
      </c>
      <c r="AR8" s="39" t="str">
        <f t="shared" si="0"/>
        <v>E</v>
      </c>
      <c r="AS8" s="39" t="str">
        <f t="shared" si="0"/>
        <v xml:space="preserve"> </v>
      </c>
      <c r="AT8" s="39" t="str">
        <f t="shared" si="0"/>
        <v>2</v>
      </c>
      <c r="AU8" s="39" t="str">
        <f t="shared" si="0"/>
        <v>0</v>
      </c>
      <c r="AV8" s="39" t="str">
        <f t="shared" si="0"/>
        <v>2</v>
      </c>
      <c r="AW8" s="39" t="str">
        <f t="shared" si="0"/>
        <v>5</v>
      </c>
      <c r="AX8" s="39" t="str">
        <f t="shared" si="0"/>
        <v/>
      </c>
      <c r="AY8" s="39" t="str">
        <f t="shared" si="0"/>
        <v/>
      </c>
      <c r="AZ8" s="39" t="str">
        <f t="shared" si="0"/>
        <v/>
      </c>
      <c r="BA8" s="39" t="str">
        <f t="shared" si="0"/>
        <v/>
      </c>
      <c r="BB8" s="39" t="str">
        <f t="shared" si="0"/>
        <v/>
      </c>
      <c r="BC8" s="39" t="str">
        <f t="shared" si="0"/>
        <v/>
      </c>
      <c r="BD8" s="39" t="str">
        <f t="shared" si="0"/>
        <v/>
      </c>
      <c r="BE8" s="39" t="str">
        <f t="shared" si="0"/>
        <v/>
      </c>
      <c r="BF8" s="39" t="str">
        <f t="shared" si="0"/>
        <v/>
      </c>
      <c r="BG8" s="39" t="str">
        <f t="shared" si="0"/>
        <v/>
      </c>
      <c r="BH8" s="39" t="str">
        <f t="shared" si="0"/>
        <v/>
      </c>
      <c r="BI8" s="39" t="str">
        <f t="shared" si="0"/>
        <v/>
      </c>
      <c r="BJ8" s="39" t="str">
        <f t="shared" si="0"/>
        <v/>
      </c>
      <c r="BK8" s="39" t="str">
        <f t="shared" si="0"/>
        <v/>
      </c>
      <c r="BL8" s="39" t="str">
        <f t="shared" si="0"/>
        <v/>
      </c>
      <c r="BM8" s="39" t="str">
        <f t="shared" si="0"/>
        <v/>
      </c>
      <c r="BN8" s="39" t="str">
        <f t="shared" si="0"/>
        <v/>
      </c>
      <c r="BO8" s="39" t="str">
        <f t="shared" si="0"/>
        <v/>
      </c>
      <c r="BP8" s="39" t="str">
        <f t="shared" si="0"/>
        <v/>
      </c>
      <c r="BQ8" s="39" t="str">
        <f t="shared" si="0"/>
        <v>N</v>
      </c>
      <c r="BR8" s="39" t="str">
        <f t="shared" si="0"/>
        <v>O</v>
      </c>
      <c r="BS8" s="39" t="str">
        <f t="shared" si="0"/>
        <v>V</v>
      </c>
      <c r="BT8" s="39" t="str">
        <f t="shared" si="0"/>
        <v>E</v>
      </c>
      <c r="BU8" s="39" t="str">
        <f t="shared" si="0"/>
        <v>M</v>
      </c>
      <c r="BV8" s="39" t="str">
        <f t="shared" si="0"/>
        <v>B</v>
      </c>
      <c r="BW8" s="39" t="str">
        <f t="shared" si="0"/>
        <v>R</v>
      </c>
      <c r="BX8" s="39" t="str">
        <f t="shared" si="0"/>
        <v>E</v>
      </c>
      <c r="BY8" s="39" t="str">
        <f t="shared" si="0"/>
        <v xml:space="preserve"> </v>
      </c>
      <c r="BZ8" s="39" t="str">
        <f t="shared" si="0"/>
        <v>2</v>
      </c>
      <c r="CA8" s="39" t="str">
        <f t="shared" ref="CA8:EL8" si="1">IF(AND(DAY(CA10)&gt;=15-ROUNDDOWN(LEN(TEXT(CA10,"mmmm aaa"))/2,2),DAY(CA10)&lt;15+ROUNDUP(LEN(TEXT(CA10,"mmmm aaa"))/2,2)),MID(UPPER(TEXT(CA10,"mmmm aaa")),DAY(CA10)+1-(15-ROUNDDOWN(LEN(TEXT(CA10,"mmmm aaa"))/2,2)),1),"")</f>
        <v>0</v>
      </c>
      <c r="CB8" s="39" t="str">
        <f t="shared" si="1"/>
        <v>2</v>
      </c>
      <c r="CC8" s="39" t="str">
        <f t="shared" si="1"/>
        <v>5</v>
      </c>
      <c r="CD8" s="39" t="str">
        <f t="shared" si="1"/>
        <v/>
      </c>
      <c r="CE8" s="39" t="str">
        <f t="shared" si="1"/>
        <v/>
      </c>
      <c r="CF8" s="39" t="str">
        <f t="shared" si="1"/>
        <v/>
      </c>
      <c r="CG8" s="39" t="str">
        <f t="shared" si="1"/>
        <v/>
      </c>
      <c r="CH8" s="39" t="str">
        <f t="shared" si="1"/>
        <v/>
      </c>
      <c r="CI8" s="39" t="str">
        <f t="shared" si="1"/>
        <v/>
      </c>
      <c r="CJ8" s="39" t="str">
        <f t="shared" si="1"/>
        <v/>
      </c>
      <c r="CK8" s="39" t="str">
        <f t="shared" si="1"/>
        <v/>
      </c>
      <c r="CL8" s="39" t="str">
        <f t="shared" si="1"/>
        <v/>
      </c>
      <c r="CM8" s="39" t="str">
        <f t="shared" si="1"/>
        <v/>
      </c>
      <c r="CN8" s="39" t="str">
        <f t="shared" si="1"/>
        <v/>
      </c>
      <c r="CO8" s="39" t="str">
        <f t="shared" si="1"/>
        <v/>
      </c>
      <c r="CP8" s="39" t="str">
        <f t="shared" si="1"/>
        <v/>
      </c>
      <c r="CQ8" s="39" t="str">
        <f t="shared" si="1"/>
        <v/>
      </c>
      <c r="CR8" s="39" t="str">
        <f t="shared" si="1"/>
        <v/>
      </c>
      <c r="CS8" s="39" t="str">
        <f t="shared" si="1"/>
        <v/>
      </c>
      <c r="CT8" s="39" t="str">
        <f t="shared" si="1"/>
        <v/>
      </c>
      <c r="CU8" s="39" t="str">
        <f t="shared" si="1"/>
        <v>D</v>
      </c>
      <c r="CV8" s="39" t="str">
        <f t="shared" si="1"/>
        <v>É</v>
      </c>
      <c r="CW8" s="39" t="str">
        <f t="shared" si="1"/>
        <v>C</v>
      </c>
      <c r="CX8" s="39" t="str">
        <f t="shared" si="1"/>
        <v>E</v>
      </c>
      <c r="CY8" s="39" t="str">
        <f t="shared" si="1"/>
        <v>M</v>
      </c>
      <c r="CZ8" s="39" t="str">
        <f t="shared" si="1"/>
        <v>B</v>
      </c>
      <c r="DA8" s="39" t="str">
        <f t="shared" si="1"/>
        <v>R</v>
      </c>
      <c r="DB8" s="39" t="str">
        <f t="shared" si="1"/>
        <v>E</v>
      </c>
      <c r="DC8" s="39" t="str">
        <f t="shared" si="1"/>
        <v xml:space="preserve"> </v>
      </c>
      <c r="DD8" s="39" t="str">
        <f t="shared" si="1"/>
        <v>2</v>
      </c>
      <c r="DE8" s="39" t="str">
        <f t="shared" si="1"/>
        <v>0</v>
      </c>
      <c r="DF8" s="39" t="str">
        <f t="shared" si="1"/>
        <v>2</v>
      </c>
      <c r="DG8" s="39" t="str">
        <f t="shared" si="1"/>
        <v>5</v>
      </c>
      <c r="DH8" s="39" t="str">
        <f t="shared" si="1"/>
        <v/>
      </c>
      <c r="DI8" s="39" t="str">
        <f t="shared" si="1"/>
        <v/>
      </c>
      <c r="DJ8" s="39" t="str">
        <f t="shared" si="1"/>
        <v/>
      </c>
      <c r="DK8" s="39" t="str">
        <f t="shared" si="1"/>
        <v/>
      </c>
      <c r="DL8" s="39" t="str">
        <f t="shared" si="1"/>
        <v/>
      </c>
      <c r="DM8" s="39" t="str">
        <f t="shared" si="1"/>
        <v/>
      </c>
      <c r="DN8" s="39" t="str">
        <f t="shared" si="1"/>
        <v/>
      </c>
      <c r="DO8" s="39" t="str">
        <f t="shared" si="1"/>
        <v/>
      </c>
      <c r="DP8" s="39" t="str">
        <f t="shared" si="1"/>
        <v/>
      </c>
      <c r="DQ8" s="39" t="str">
        <f t="shared" si="1"/>
        <v/>
      </c>
      <c r="DR8" s="39" t="str">
        <f t="shared" si="1"/>
        <v/>
      </c>
      <c r="DS8" s="39" t="str">
        <f t="shared" si="1"/>
        <v/>
      </c>
      <c r="DT8" s="39" t="str">
        <f t="shared" si="1"/>
        <v/>
      </c>
      <c r="DU8" s="39" t="str">
        <f t="shared" si="1"/>
        <v/>
      </c>
      <c r="DV8" s="39" t="str">
        <f t="shared" si="1"/>
        <v/>
      </c>
      <c r="DW8" s="39" t="str">
        <f t="shared" si="1"/>
        <v/>
      </c>
      <c r="DX8" s="39" t="str">
        <f t="shared" si="1"/>
        <v/>
      </c>
      <c r="DY8" s="39" t="str">
        <f t="shared" si="1"/>
        <v/>
      </c>
      <c r="DZ8" s="39" t="str">
        <f t="shared" si="1"/>
        <v>J</v>
      </c>
      <c r="EA8" s="39" t="str">
        <f t="shared" si="1"/>
        <v>A</v>
      </c>
      <c r="EB8" s="39" t="str">
        <f t="shared" si="1"/>
        <v>N</v>
      </c>
      <c r="EC8" s="39" t="str">
        <f t="shared" si="1"/>
        <v>V</v>
      </c>
      <c r="ED8" s="39" t="str">
        <f t="shared" si="1"/>
        <v>I</v>
      </c>
      <c r="EE8" s="39" t="str">
        <f t="shared" si="1"/>
        <v>E</v>
      </c>
      <c r="EF8" s="39" t="str">
        <f t="shared" si="1"/>
        <v>R</v>
      </c>
      <c r="EG8" s="39" t="str">
        <f t="shared" si="1"/>
        <v xml:space="preserve"> </v>
      </c>
      <c r="EH8" s="39" t="str">
        <f t="shared" si="1"/>
        <v>2</v>
      </c>
      <c r="EI8" s="39" t="str">
        <f t="shared" si="1"/>
        <v>0</v>
      </c>
      <c r="EJ8" s="39" t="str">
        <f t="shared" si="1"/>
        <v>2</v>
      </c>
      <c r="EK8" s="39" t="str">
        <f t="shared" si="1"/>
        <v>6</v>
      </c>
      <c r="EL8" s="39" t="str">
        <f t="shared" si="1"/>
        <v/>
      </c>
      <c r="EM8" s="39" t="str">
        <f t="shared" ref="EM8:GX8" si="2">IF(AND(DAY(EM10)&gt;=15-ROUNDDOWN(LEN(TEXT(EM10,"mmmm aaa"))/2,2),DAY(EM10)&lt;15+ROUNDUP(LEN(TEXT(EM10,"mmmm aaa"))/2,2)),MID(UPPER(TEXT(EM10,"mmmm aaa")),DAY(EM10)+1-(15-ROUNDDOWN(LEN(TEXT(EM10,"mmmm aaa"))/2,2)),1),"")</f>
        <v/>
      </c>
      <c r="EN8" s="39" t="str">
        <f t="shared" si="2"/>
        <v/>
      </c>
      <c r="EO8" s="39" t="str">
        <f t="shared" si="2"/>
        <v/>
      </c>
      <c r="EP8" s="39" t="str">
        <f t="shared" si="2"/>
        <v/>
      </c>
      <c r="EQ8" s="39" t="str">
        <f t="shared" si="2"/>
        <v/>
      </c>
      <c r="ER8" s="39" t="str">
        <f t="shared" si="2"/>
        <v/>
      </c>
      <c r="ES8" s="39" t="str">
        <f t="shared" si="2"/>
        <v/>
      </c>
      <c r="ET8" s="39" t="str">
        <f t="shared" si="2"/>
        <v/>
      </c>
      <c r="EU8" s="39" t="str">
        <f t="shared" si="2"/>
        <v/>
      </c>
      <c r="EV8" s="39" t="str">
        <f t="shared" si="2"/>
        <v/>
      </c>
      <c r="EW8" s="39" t="str">
        <f t="shared" si="2"/>
        <v/>
      </c>
      <c r="EX8" s="39" t="str">
        <f t="shared" si="2"/>
        <v/>
      </c>
      <c r="EY8" s="39" t="str">
        <f t="shared" si="2"/>
        <v/>
      </c>
      <c r="EZ8" s="39" t="str">
        <f t="shared" si="2"/>
        <v/>
      </c>
      <c r="FA8" s="39" t="str">
        <f t="shared" si="2"/>
        <v/>
      </c>
      <c r="FB8" s="39" t="str">
        <f t="shared" si="2"/>
        <v/>
      </c>
      <c r="FC8" s="39" t="str">
        <f t="shared" si="2"/>
        <v/>
      </c>
      <c r="FD8" s="39" t="str">
        <f t="shared" si="2"/>
        <v/>
      </c>
      <c r="FE8" s="39" t="str">
        <f t="shared" si="2"/>
        <v>F</v>
      </c>
      <c r="FF8" s="39" t="str">
        <f t="shared" si="2"/>
        <v>É</v>
      </c>
      <c r="FG8" s="39" t="str">
        <f t="shared" si="2"/>
        <v>V</v>
      </c>
      <c r="FH8" s="39" t="str">
        <f t="shared" si="2"/>
        <v>R</v>
      </c>
      <c r="FI8" s="39" t="str">
        <f t="shared" si="2"/>
        <v>I</v>
      </c>
      <c r="FJ8" s="39" t="str">
        <f t="shared" si="2"/>
        <v>E</v>
      </c>
      <c r="FK8" s="39" t="str">
        <f t="shared" si="2"/>
        <v>R</v>
      </c>
      <c r="FL8" s="39" t="str">
        <f t="shared" si="2"/>
        <v xml:space="preserve"> </v>
      </c>
      <c r="FM8" s="39" t="str">
        <f t="shared" si="2"/>
        <v>2</v>
      </c>
      <c r="FN8" s="39" t="str">
        <f t="shared" si="2"/>
        <v>0</v>
      </c>
      <c r="FO8" s="39" t="str">
        <f t="shared" si="2"/>
        <v>2</v>
      </c>
      <c r="FP8" s="39" t="str">
        <f t="shared" si="2"/>
        <v>6</v>
      </c>
      <c r="FQ8" s="39" t="str">
        <f t="shared" si="2"/>
        <v/>
      </c>
      <c r="FR8" s="39" t="str">
        <f t="shared" si="2"/>
        <v/>
      </c>
      <c r="FS8" s="39" t="str">
        <f t="shared" si="2"/>
        <v/>
      </c>
      <c r="FT8" s="39" t="str">
        <f t="shared" si="2"/>
        <v/>
      </c>
      <c r="FU8" s="39" t="str">
        <f t="shared" si="2"/>
        <v/>
      </c>
      <c r="FV8" s="39" t="str">
        <f t="shared" si="2"/>
        <v/>
      </c>
      <c r="FW8" s="39" t="str">
        <f t="shared" si="2"/>
        <v/>
      </c>
      <c r="FX8" s="39" t="str">
        <f t="shared" si="2"/>
        <v/>
      </c>
      <c r="FY8" s="39" t="str">
        <f t="shared" si="2"/>
        <v/>
      </c>
      <c r="FZ8" s="39" t="str">
        <f t="shared" si="2"/>
        <v/>
      </c>
      <c r="GA8" s="39" t="str">
        <f t="shared" si="2"/>
        <v/>
      </c>
      <c r="GB8" s="39" t="str">
        <f t="shared" si="2"/>
        <v/>
      </c>
      <c r="GC8" s="39" t="str">
        <f t="shared" si="2"/>
        <v/>
      </c>
      <c r="GD8" s="39" t="str">
        <f t="shared" si="2"/>
        <v/>
      </c>
      <c r="GE8" s="39" t="str">
        <f t="shared" si="2"/>
        <v/>
      </c>
      <c r="GF8" s="39" t="str">
        <f t="shared" si="2"/>
        <v/>
      </c>
      <c r="GG8" s="39" t="str">
        <f t="shared" si="2"/>
        <v/>
      </c>
      <c r="GH8" s="39" t="str">
        <f t="shared" si="2"/>
        <v/>
      </c>
      <c r="GI8" s="39" t="str">
        <f t="shared" si="2"/>
        <v>M</v>
      </c>
      <c r="GJ8" s="39" t="str">
        <f t="shared" si="2"/>
        <v>A</v>
      </c>
      <c r="GK8" s="39" t="str">
        <f t="shared" si="2"/>
        <v>R</v>
      </c>
      <c r="GL8" s="39" t="str">
        <f t="shared" si="2"/>
        <v>S</v>
      </c>
      <c r="GM8" s="39" t="str">
        <f t="shared" si="2"/>
        <v xml:space="preserve"> </v>
      </c>
      <c r="GN8" s="39" t="str">
        <f t="shared" si="2"/>
        <v>2</v>
      </c>
      <c r="GO8" s="39" t="str">
        <f t="shared" si="2"/>
        <v>0</v>
      </c>
      <c r="GP8" s="39" t="str">
        <f t="shared" si="2"/>
        <v>2</v>
      </c>
      <c r="GQ8" s="39" t="str">
        <f t="shared" si="2"/>
        <v>6</v>
      </c>
      <c r="GR8" s="39" t="str">
        <f t="shared" si="2"/>
        <v/>
      </c>
      <c r="GS8" s="39" t="str">
        <f t="shared" si="2"/>
        <v/>
      </c>
      <c r="GT8" s="39" t="str">
        <f t="shared" si="2"/>
        <v/>
      </c>
      <c r="GU8" s="39" t="str">
        <f t="shared" si="2"/>
        <v/>
      </c>
      <c r="GV8" s="39" t="str">
        <f t="shared" si="2"/>
        <v/>
      </c>
      <c r="GW8" s="39" t="str">
        <f t="shared" si="2"/>
        <v/>
      </c>
      <c r="GX8" s="39" t="str">
        <f t="shared" si="2"/>
        <v/>
      </c>
      <c r="GY8" s="39" t="str">
        <f t="shared" ref="GY8:JJ8" si="3">IF(AND(DAY(GY10)&gt;=15-ROUNDDOWN(LEN(TEXT(GY10,"mmmm aaa"))/2,2),DAY(GY10)&lt;15+ROUNDUP(LEN(TEXT(GY10,"mmmm aaa"))/2,2)),MID(UPPER(TEXT(GY10,"mmmm aaa")),DAY(GY10)+1-(15-ROUNDDOWN(LEN(TEXT(GY10,"mmmm aaa"))/2,2)),1),"")</f>
        <v/>
      </c>
      <c r="GZ8" s="39" t="str">
        <f t="shared" si="3"/>
        <v/>
      </c>
      <c r="HA8" s="39" t="str">
        <f t="shared" si="3"/>
        <v/>
      </c>
      <c r="HB8" s="39" t="str">
        <f t="shared" si="3"/>
        <v/>
      </c>
      <c r="HC8" s="39" t="str">
        <f t="shared" si="3"/>
        <v/>
      </c>
      <c r="HD8" s="39" t="str">
        <f t="shared" si="3"/>
        <v/>
      </c>
      <c r="HE8" s="39" t="str">
        <f t="shared" si="3"/>
        <v/>
      </c>
      <c r="HF8" s="39" t="str">
        <f t="shared" si="3"/>
        <v/>
      </c>
      <c r="HG8" s="39" t="str">
        <f t="shared" si="3"/>
        <v/>
      </c>
      <c r="HH8" s="39" t="str">
        <f t="shared" si="3"/>
        <v/>
      </c>
      <c r="HI8" s="39" t="str">
        <f t="shared" si="3"/>
        <v/>
      </c>
      <c r="HJ8" s="39" t="str">
        <f t="shared" si="3"/>
        <v/>
      </c>
      <c r="HK8" s="39" t="str">
        <f t="shared" si="3"/>
        <v/>
      </c>
      <c r="HL8" s="39" t="str">
        <f t="shared" si="3"/>
        <v/>
      </c>
      <c r="HM8" s="39" t="str">
        <f t="shared" si="3"/>
        <v>A</v>
      </c>
      <c r="HN8" s="39" t="str">
        <f t="shared" si="3"/>
        <v>V</v>
      </c>
      <c r="HO8" s="39" t="str">
        <f t="shared" si="3"/>
        <v>R</v>
      </c>
      <c r="HP8" s="39" t="str">
        <f t="shared" si="3"/>
        <v>I</v>
      </c>
      <c r="HQ8" s="39" t="str">
        <f t="shared" si="3"/>
        <v>L</v>
      </c>
      <c r="HR8" s="39" t="str">
        <f t="shared" si="3"/>
        <v xml:space="preserve"> </v>
      </c>
      <c r="HS8" s="39" t="str">
        <f t="shared" si="3"/>
        <v>2</v>
      </c>
      <c r="HT8" s="39" t="str">
        <f t="shared" si="3"/>
        <v>0</v>
      </c>
      <c r="HU8" s="39" t="str">
        <f t="shared" si="3"/>
        <v>2</v>
      </c>
      <c r="HV8" s="39" t="str">
        <f t="shared" si="3"/>
        <v>6</v>
      </c>
      <c r="HW8" s="39" t="str">
        <f t="shared" si="3"/>
        <v/>
      </c>
      <c r="HX8" s="39" t="str">
        <f t="shared" si="3"/>
        <v/>
      </c>
      <c r="HY8" s="39" t="str">
        <f t="shared" si="3"/>
        <v/>
      </c>
      <c r="HZ8" s="39" t="str">
        <f t="shared" si="3"/>
        <v/>
      </c>
      <c r="IA8" s="39" t="str">
        <f t="shared" si="3"/>
        <v/>
      </c>
      <c r="IB8" s="39" t="str">
        <f t="shared" si="3"/>
        <v/>
      </c>
      <c r="IC8" s="39" t="str">
        <f t="shared" si="3"/>
        <v/>
      </c>
      <c r="ID8" s="39" t="str">
        <f t="shared" si="3"/>
        <v/>
      </c>
      <c r="IE8" s="39" t="str">
        <f t="shared" si="3"/>
        <v/>
      </c>
      <c r="IF8" s="39" t="str">
        <f t="shared" si="3"/>
        <v/>
      </c>
      <c r="IG8" s="39" t="str">
        <f t="shared" si="3"/>
        <v/>
      </c>
      <c r="IH8" s="39" t="str">
        <f t="shared" si="3"/>
        <v/>
      </c>
      <c r="II8" s="39" t="str">
        <f t="shared" si="3"/>
        <v/>
      </c>
      <c r="IJ8" s="39" t="str">
        <f t="shared" si="3"/>
        <v/>
      </c>
      <c r="IK8" s="39" t="str">
        <f t="shared" si="3"/>
        <v/>
      </c>
      <c r="IL8" s="39" t="str">
        <f t="shared" si="3"/>
        <v/>
      </c>
      <c r="IM8" s="39" t="str">
        <f t="shared" si="3"/>
        <v/>
      </c>
      <c r="IN8" s="39" t="str">
        <f t="shared" si="3"/>
        <v/>
      </c>
      <c r="IO8" s="39" t="str">
        <f t="shared" si="3"/>
        <v/>
      </c>
      <c r="IP8" s="39" t="str">
        <f t="shared" si="3"/>
        <v/>
      </c>
      <c r="IQ8" s="39" t="str">
        <f t="shared" si="3"/>
        <v/>
      </c>
      <c r="IR8" s="39" t="str">
        <f t="shared" si="3"/>
        <v>M</v>
      </c>
      <c r="IS8" s="39" t="str">
        <f t="shared" si="3"/>
        <v>A</v>
      </c>
      <c r="IT8" s="39" t="str">
        <f t="shared" si="3"/>
        <v>I</v>
      </c>
      <c r="IU8" s="39" t="str">
        <f t="shared" si="3"/>
        <v xml:space="preserve"> </v>
      </c>
      <c r="IV8" s="39" t="str">
        <f t="shared" si="3"/>
        <v>2</v>
      </c>
      <c r="IW8" s="39" t="str">
        <f t="shared" si="3"/>
        <v>0</v>
      </c>
      <c r="IX8" s="39" t="str">
        <f t="shared" si="3"/>
        <v>2</v>
      </c>
      <c r="IY8" s="39" t="str">
        <f t="shared" si="3"/>
        <v>6</v>
      </c>
      <c r="IZ8" s="39" t="str">
        <f t="shared" si="3"/>
        <v/>
      </c>
      <c r="JA8" s="39" t="str">
        <f t="shared" si="3"/>
        <v/>
      </c>
      <c r="JB8" s="39" t="str">
        <f t="shared" si="3"/>
        <v/>
      </c>
      <c r="JC8" s="39" t="str">
        <f t="shared" si="3"/>
        <v/>
      </c>
      <c r="JD8" s="39" t="str">
        <f t="shared" si="3"/>
        <v/>
      </c>
      <c r="JE8" s="39" t="str">
        <f t="shared" si="3"/>
        <v/>
      </c>
      <c r="JF8" s="39" t="str">
        <f t="shared" si="3"/>
        <v/>
      </c>
      <c r="JG8" s="39" t="str">
        <f t="shared" si="3"/>
        <v/>
      </c>
      <c r="JH8" s="39" t="str">
        <f t="shared" si="3"/>
        <v/>
      </c>
      <c r="JI8" s="39" t="str">
        <f t="shared" si="3"/>
        <v/>
      </c>
      <c r="JJ8" s="39" t="str">
        <f t="shared" si="3"/>
        <v/>
      </c>
      <c r="JK8" s="39" t="str">
        <f t="shared" ref="JK8:LV8" si="4">IF(AND(DAY(JK10)&gt;=15-ROUNDDOWN(LEN(TEXT(JK10,"mmmm aaa"))/2,2),DAY(JK10)&lt;15+ROUNDUP(LEN(TEXT(JK10,"mmmm aaa"))/2,2)),MID(UPPER(TEXT(JK10,"mmmm aaa")),DAY(JK10)+1-(15-ROUNDDOWN(LEN(TEXT(JK10,"mmmm aaa"))/2,2)),1),"")</f>
        <v/>
      </c>
      <c r="JL8" s="39" t="str">
        <f t="shared" si="4"/>
        <v/>
      </c>
      <c r="JM8" s="39" t="str">
        <f t="shared" si="4"/>
        <v/>
      </c>
      <c r="JN8" s="39" t="str">
        <f t="shared" si="4"/>
        <v/>
      </c>
      <c r="JO8" s="39" t="str">
        <f t="shared" si="4"/>
        <v/>
      </c>
      <c r="JP8" s="39" t="str">
        <f t="shared" si="4"/>
        <v/>
      </c>
      <c r="JQ8" s="39" t="str">
        <f t="shared" si="4"/>
        <v/>
      </c>
      <c r="JR8" s="39" t="str">
        <f t="shared" si="4"/>
        <v/>
      </c>
      <c r="JS8" s="39" t="str">
        <f t="shared" si="4"/>
        <v/>
      </c>
      <c r="JT8" s="39" t="str">
        <f t="shared" si="4"/>
        <v/>
      </c>
      <c r="JU8" s="39" t="str">
        <f t="shared" si="4"/>
        <v/>
      </c>
      <c r="JV8" s="39" t="str">
        <f t="shared" si="4"/>
        <v/>
      </c>
      <c r="JW8" s="39" t="str">
        <f t="shared" si="4"/>
        <v>J</v>
      </c>
      <c r="JX8" s="39" t="str">
        <f t="shared" si="4"/>
        <v>U</v>
      </c>
      <c r="JY8" s="39" t="str">
        <f t="shared" si="4"/>
        <v>I</v>
      </c>
      <c r="JZ8" s="39" t="str">
        <f t="shared" si="4"/>
        <v>N</v>
      </c>
      <c r="KA8" s="39" t="str">
        <f t="shared" si="4"/>
        <v xml:space="preserve"> </v>
      </c>
      <c r="KB8" s="39" t="str">
        <f t="shared" si="4"/>
        <v>2</v>
      </c>
      <c r="KC8" s="39" t="str">
        <f t="shared" si="4"/>
        <v>0</v>
      </c>
      <c r="KD8" s="39" t="str">
        <f t="shared" si="4"/>
        <v>2</v>
      </c>
      <c r="KE8" s="39" t="str">
        <f t="shared" si="4"/>
        <v>6</v>
      </c>
      <c r="KF8" s="39" t="str">
        <f t="shared" si="4"/>
        <v/>
      </c>
      <c r="KG8" s="39" t="str">
        <f t="shared" si="4"/>
        <v/>
      </c>
      <c r="KH8" s="39" t="str">
        <f t="shared" si="4"/>
        <v/>
      </c>
      <c r="KI8" s="39" t="str">
        <f t="shared" si="4"/>
        <v/>
      </c>
      <c r="KJ8" s="39" t="str">
        <f t="shared" si="4"/>
        <v/>
      </c>
      <c r="KK8" s="39" t="str">
        <f t="shared" si="4"/>
        <v/>
      </c>
      <c r="KL8" s="39" t="str">
        <f t="shared" si="4"/>
        <v/>
      </c>
      <c r="KM8" s="39" t="str">
        <f t="shared" si="4"/>
        <v/>
      </c>
      <c r="KN8" s="39" t="str">
        <f t="shared" si="4"/>
        <v/>
      </c>
      <c r="KO8" s="39" t="str">
        <f t="shared" si="4"/>
        <v/>
      </c>
      <c r="KP8" s="39" t="str">
        <f t="shared" si="4"/>
        <v/>
      </c>
      <c r="KQ8" s="39" t="str">
        <f t="shared" si="4"/>
        <v/>
      </c>
      <c r="KR8" s="39" t="str">
        <f t="shared" si="4"/>
        <v/>
      </c>
      <c r="KS8" s="39" t="str">
        <f t="shared" si="4"/>
        <v/>
      </c>
      <c r="KT8" s="39" t="str">
        <f t="shared" si="4"/>
        <v/>
      </c>
      <c r="KU8" s="39" t="str">
        <f t="shared" si="4"/>
        <v/>
      </c>
      <c r="KV8" s="39" t="str">
        <f t="shared" si="4"/>
        <v/>
      </c>
      <c r="KW8" s="39" t="str">
        <f t="shared" si="4"/>
        <v/>
      </c>
      <c r="KX8" s="39" t="str">
        <f t="shared" si="4"/>
        <v/>
      </c>
      <c r="KY8" s="39" t="str">
        <f t="shared" si="4"/>
        <v>J</v>
      </c>
      <c r="KZ8" s="39" t="str">
        <f t="shared" si="4"/>
        <v>U</v>
      </c>
      <c r="LA8" s="39" t="str">
        <f t="shared" si="4"/>
        <v>I</v>
      </c>
      <c r="LB8" s="39" t="str">
        <f t="shared" si="4"/>
        <v>L</v>
      </c>
      <c r="LC8" s="39" t="str">
        <f t="shared" si="4"/>
        <v>L</v>
      </c>
      <c r="LD8" s="39" t="str">
        <f t="shared" si="4"/>
        <v>E</v>
      </c>
      <c r="LE8" s="39" t="str">
        <f t="shared" si="4"/>
        <v>T</v>
      </c>
      <c r="LF8" s="39" t="str">
        <f t="shared" si="4"/>
        <v xml:space="preserve"> </v>
      </c>
      <c r="LG8" s="39" t="str">
        <f t="shared" si="4"/>
        <v>2</v>
      </c>
      <c r="LH8" s="39" t="str">
        <f t="shared" si="4"/>
        <v>0</v>
      </c>
      <c r="LI8" s="39" t="str">
        <f t="shared" si="4"/>
        <v>2</v>
      </c>
      <c r="LJ8" s="39" t="str">
        <f t="shared" si="4"/>
        <v>6</v>
      </c>
      <c r="LK8" s="39" t="str">
        <f t="shared" si="4"/>
        <v/>
      </c>
      <c r="LL8" s="39" t="str">
        <f t="shared" si="4"/>
        <v/>
      </c>
      <c r="LM8" s="39" t="str">
        <f t="shared" si="4"/>
        <v/>
      </c>
      <c r="LN8" s="39" t="str">
        <f t="shared" si="4"/>
        <v/>
      </c>
      <c r="LO8" s="39" t="str">
        <f t="shared" si="4"/>
        <v/>
      </c>
      <c r="LP8" s="39" t="str">
        <f t="shared" si="4"/>
        <v/>
      </c>
      <c r="LQ8" s="39" t="str">
        <f t="shared" si="4"/>
        <v/>
      </c>
      <c r="LR8" s="39" t="str">
        <f t="shared" si="4"/>
        <v/>
      </c>
      <c r="LS8" s="39" t="str">
        <f t="shared" si="4"/>
        <v/>
      </c>
      <c r="LT8" s="39" t="str">
        <f t="shared" si="4"/>
        <v/>
      </c>
      <c r="LU8" s="39" t="str">
        <f t="shared" si="4"/>
        <v/>
      </c>
      <c r="LV8" s="39" t="str">
        <f t="shared" si="4"/>
        <v/>
      </c>
      <c r="LW8" s="39" t="str">
        <f t="shared" ref="LW8:OH8" si="5">IF(AND(DAY(LW10)&gt;=15-ROUNDDOWN(LEN(TEXT(LW10,"mmmm aaa"))/2,2),DAY(LW10)&lt;15+ROUNDUP(LEN(TEXT(LW10,"mmmm aaa"))/2,2)),MID(UPPER(TEXT(LW10,"mmmm aaa")),DAY(LW10)+1-(15-ROUNDDOWN(LEN(TEXT(LW10,"mmmm aaa"))/2,2)),1),"")</f>
        <v/>
      </c>
      <c r="LX8" s="39" t="str">
        <f t="shared" si="5"/>
        <v/>
      </c>
      <c r="LY8" s="39" t="str">
        <f t="shared" si="5"/>
        <v/>
      </c>
      <c r="LZ8" s="39" t="str">
        <f t="shared" si="5"/>
        <v/>
      </c>
      <c r="MA8" s="39" t="str">
        <f t="shared" si="5"/>
        <v/>
      </c>
      <c r="MB8" s="39" t="str">
        <f t="shared" si="5"/>
        <v/>
      </c>
      <c r="MC8" s="39" t="str">
        <f t="shared" si="5"/>
        <v/>
      </c>
      <c r="MD8" s="39" t="str">
        <f t="shared" si="5"/>
        <v/>
      </c>
      <c r="ME8" s="39" t="str">
        <f t="shared" si="5"/>
        <v/>
      </c>
      <c r="MF8" s="39" t="str">
        <f t="shared" si="5"/>
        <v>A</v>
      </c>
      <c r="MG8" s="39" t="str">
        <f t="shared" si="5"/>
        <v>O</v>
      </c>
      <c r="MH8" s="39" t="str">
        <f t="shared" si="5"/>
        <v>Û</v>
      </c>
      <c r="MI8" s="39" t="str">
        <f t="shared" si="5"/>
        <v>T</v>
      </c>
      <c r="MJ8" s="39" t="str">
        <f t="shared" si="5"/>
        <v xml:space="preserve"> </v>
      </c>
      <c r="MK8" s="39" t="str">
        <f t="shared" si="5"/>
        <v>2</v>
      </c>
      <c r="ML8" s="39" t="str">
        <f t="shared" si="5"/>
        <v>0</v>
      </c>
      <c r="MM8" s="39" t="str">
        <f t="shared" si="5"/>
        <v>2</v>
      </c>
      <c r="MN8" s="39" t="str">
        <f t="shared" si="5"/>
        <v>6</v>
      </c>
      <c r="MO8" s="39" t="str">
        <f t="shared" si="5"/>
        <v/>
      </c>
      <c r="MP8" s="39" t="str">
        <f t="shared" si="5"/>
        <v/>
      </c>
      <c r="MQ8" s="39" t="str">
        <f t="shared" si="5"/>
        <v/>
      </c>
      <c r="MR8" s="39" t="str">
        <f t="shared" si="5"/>
        <v/>
      </c>
      <c r="MS8" s="39" t="str">
        <f t="shared" si="5"/>
        <v/>
      </c>
      <c r="MT8" s="39" t="str">
        <f t="shared" si="5"/>
        <v/>
      </c>
      <c r="MU8" s="39" t="str">
        <f t="shared" si="5"/>
        <v/>
      </c>
      <c r="MV8" s="39" t="str">
        <f t="shared" si="5"/>
        <v/>
      </c>
      <c r="MW8" s="39" t="str">
        <f t="shared" si="5"/>
        <v/>
      </c>
      <c r="MX8" s="39" t="str">
        <f t="shared" si="5"/>
        <v/>
      </c>
      <c r="MY8" s="39" t="str">
        <f t="shared" si="5"/>
        <v/>
      </c>
      <c r="MZ8" s="39" t="str">
        <f t="shared" si="5"/>
        <v/>
      </c>
      <c r="NA8" s="39" t="str">
        <f t="shared" si="5"/>
        <v/>
      </c>
      <c r="NB8" s="39" t="str">
        <f t="shared" si="5"/>
        <v/>
      </c>
      <c r="NC8" s="39" t="str">
        <f t="shared" si="5"/>
        <v/>
      </c>
      <c r="ND8" s="39" t="str">
        <f t="shared" si="5"/>
        <v/>
      </c>
      <c r="NE8" s="39" t="str">
        <f t="shared" si="5"/>
        <v/>
      </c>
      <c r="NF8" s="39" t="str">
        <f t="shared" si="5"/>
        <v/>
      </c>
      <c r="NG8" s="39" t="str">
        <f t="shared" si="5"/>
        <v/>
      </c>
      <c r="NH8" s="39" t="str">
        <f t="shared" si="5"/>
        <v>S</v>
      </c>
      <c r="NI8" s="39" t="str">
        <f t="shared" si="5"/>
        <v>E</v>
      </c>
      <c r="NJ8" s="39" t="str">
        <f t="shared" si="5"/>
        <v>P</v>
      </c>
      <c r="NK8" s="39" t="str">
        <f t="shared" si="5"/>
        <v>T</v>
      </c>
      <c r="NL8" s="39" t="str">
        <f t="shared" si="5"/>
        <v>E</v>
      </c>
      <c r="NM8" s="39" t="str">
        <f t="shared" si="5"/>
        <v>M</v>
      </c>
      <c r="NN8" s="39" t="str">
        <f t="shared" si="5"/>
        <v>B</v>
      </c>
      <c r="NO8" s="39" t="str">
        <f t="shared" si="5"/>
        <v>R</v>
      </c>
      <c r="NP8" s="39" t="str">
        <f t="shared" si="5"/>
        <v>E</v>
      </c>
      <c r="NQ8" s="39" t="str">
        <f t="shared" si="5"/>
        <v xml:space="preserve"> </v>
      </c>
      <c r="NR8" s="39" t="str">
        <f t="shared" si="5"/>
        <v>2</v>
      </c>
      <c r="NS8" s="39" t="str">
        <f t="shared" si="5"/>
        <v>0</v>
      </c>
      <c r="NT8" s="39" t="str">
        <f t="shared" si="5"/>
        <v>2</v>
      </c>
      <c r="NU8" s="39" t="str">
        <f t="shared" si="5"/>
        <v>6</v>
      </c>
      <c r="NV8" s="39" t="str">
        <f t="shared" si="5"/>
        <v/>
      </c>
      <c r="NW8" s="39" t="str">
        <f t="shared" si="5"/>
        <v/>
      </c>
      <c r="NX8" s="39" t="str">
        <f t="shared" si="5"/>
        <v/>
      </c>
      <c r="NY8" s="39" t="str">
        <f t="shared" si="5"/>
        <v/>
      </c>
      <c r="NZ8" s="39" t="str">
        <f t="shared" si="5"/>
        <v/>
      </c>
      <c r="OA8" s="39" t="str">
        <f t="shared" si="5"/>
        <v/>
      </c>
      <c r="OB8" s="39" t="str">
        <f t="shared" si="5"/>
        <v/>
      </c>
      <c r="OC8" s="39" t="str">
        <f t="shared" si="5"/>
        <v/>
      </c>
      <c r="OD8" s="39" t="str">
        <f t="shared" si="5"/>
        <v/>
      </c>
      <c r="OE8" s="39" t="str">
        <f t="shared" si="5"/>
        <v/>
      </c>
      <c r="OF8" s="39" t="str">
        <f t="shared" si="5"/>
        <v/>
      </c>
      <c r="OG8" s="39" t="str">
        <f t="shared" si="5"/>
        <v/>
      </c>
      <c r="OH8" s="39" t="str">
        <f t="shared" si="5"/>
        <v/>
      </c>
      <c r="OI8" s="39" t="str">
        <f t="shared" ref="OI8:PR8" si="6">IF(AND(DAY(OI10)&gt;=15-ROUNDDOWN(LEN(TEXT(OI10,"mmmm aaa"))/2,2),DAY(OI10)&lt;15+ROUNDUP(LEN(TEXT(OI10,"mmmm aaa"))/2,2)),MID(UPPER(TEXT(OI10,"mmmm aaa")),DAY(OI10)+1-(15-ROUNDDOWN(LEN(TEXT(OI10,"mmmm aaa"))/2,2)),1),"")</f>
        <v/>
      </c>
      <c r="OJ8" s="39" t="str">
        <f t="shared" si="6"/>
        <v/>
      </c>
      <c r="OK8" s="39" t="str">
        <f t="shared" si="6"/>
        <v/>
      </c>
      <c r="OL8" s="39" t="str">
        <f t="shared" si="6"/>
        <v/>
      </c>
      <c r="OM8" s="39" t="str">
        <f t="shared" si="6"/>
        <v>O</v>
      </c>
      <c r="ON8" s="39" t="str">
        <f t="shared" si="6"/>
        <v>C</v>
      </c>
      <c r="OO8" s="39" t="str">
        <f t="shared" si="6"/>
        <v>T</v>
      </c>
      <c r="OP8" s="39" t="str">
        <f t="shared" si="6"/>
        <v>O</v>
      </c>
      <c r="OQ8" s="39" t="str">
        <f t="shared" si="6"/>
        <v>B</v>
      </c>
      <c r="OR8" s="39" t="str">
        <f t="shared" si="6"/>
        <v>R</v>
      </c>
      <c r="OS8" s="39" t="str">
        <f t="shared" si="6"/>
        <v>E</v>
      </c>
      <c r="OT8" s="39" t="str">
        <f t="shared" si="6"/>
        <v xml:space="preserve"> </v>
      </c>
      <c r="OU8" s="39" t="str">
        <f t="shared" si="6"/>
        <v>2</v>
      </c>
      <c r="OV8" s="39" t="str">
        <f t="shared" si="6"/>
        <v>0</v>
      </c>
      <c r="OW8" s="39" t="str">
        <f t="shared" si="6"/>
        <v>2</v>
      </c>
      <c r="OX8" s="39" t="str">
        <f t="shared" si="6"/>
        <v>6</v>
      </c>
      <c r="OY8" s="39" t="str">
        <f t="shared" si="6"/>
        <v/>
      </c>
      <c r="OZ8" s="39" t="str">
        <f t="shared" si="6"/>
        <v/>
      </c>
      <c r="PA8" s="39" t="str">
        <f t="shared" si="6"/>
        <v/>
      </c>
      <c r="PB8" s="39" t="str">
        <f t="shared" si="6"/>
        <v/>
      </c>
      <c r="PC8" s="39" t="str">
        <f t="shared" si="6"/>
        <v/>
      </c>
      <c r="PD8" s="39" t="str">
        <f t="shared" si="6"/>
        <v/>
      </c>
      <c r="PE8" s="39" t="str">
        <f t="shared" si="6"/>
        <v/>
      </c>
      <c r="PF8" s="39" t="str">
        <f t="shared" si="6"/>
        <v/>
      </c>
      <c r="PG8" s="39" t="str">
        <f t="shared" si="6"/>
        <v/>
      </c>
      <c r="PH8" s="39" t="str">
        <f t="shared" si="6"/>
        <v/>
      </c>
      <c r="PI8" s="39" t="str">
        <f t="shared" si="6"/>
        <v/>
      </c>
      <c r="PJ8" s="39" t="str">
        <f t="shared" si="6"/>
        <v/>
      </c>
      <c r="PK8" s="39" t="str">
        <f t="shared" si="6"/>
        <v/>
      </c>
      <c r="PL8" s="39" t="str">
        <f t="shared" si="6"/>
        <v/>
      </c>
      <c r="PM8" s="39" t="str">
        <f t="shared" si="6"/>
        <v/>
      </c>
      <c r="PN8" s="39" t="str">
        <f t="shared" si="6"/>
        <v/>
      </c>
      <c r="PO8" s="39" t="str">
        <f t="shared" si="6"/>
        <v/>
      </c>
      <c r="PP8" s="39" t="str">
        <f t="shared" si="6"/>
        <v/>
      </c>
      <c r="PQ8" s="39" t="str">
        <f t="shared" si="6"/>
        <v/>
      </c>
      <c r="PR8" s="40" t="str">
        <f t="shared" si="6"/>
        <v>N</v>
      </c>
    </row>
    <row r="9" spans="1:434" ht="22.8" customHeight="1">
      <c r="A9" s="6"/>
      <c r="B9" s="71"/>
      <c r="C9" s="71"/>
      <c r="D9" s="71"/>
      <c r="E9" s="71"/>
      <c r="F9" s="71"/>
      <c r="G9" s="71"/>
      <c r="H9" s="71"/>
      <c r="I9" s="71"/>
      <c r="J9" s="71"/>
      <c r="K9" s="71"/>
      <c r="L9" s="69"/>
      <c r="M9" s="69"/>
      <c r="N9" s="43" t="str">
        <f>IF(WEEKDAY(N10)=5,IF(ISERROR(_xlfn.ISOWEEKNUM(N10)),WEEKNUM(N10,2),_xlfn.ISOWEEKNUM(N10)),"")</f>
        <v/>
      </c>
      <c r="O9" s="44" t="str">
        <f t="shared" ref="O9:T9" si="7">IF(WEEKDAY(O10)=5,IF(ISERROR(_xlfn.ISOWEEKNUM(O10)),WEEKNUM(O10,2),_xlfn.ISOWEEKNUM(O10)),"")</f>
        <v/>
      </c>
      <c r="P9" s="44" t="str">
        <f t="shared" si="7"/>
        <v/>
      </c>
      <c r="Q9" s="44">
        <f t="shared" si="7"/>
        <v>38</v>
      </c>
      <c r="R9" s="44" t="str">
        <f t="shared" si="7"/>
        <v/>
      </c>
      <c r="S9" s="44" t="str">
        <f t="shared" si="7"/>
        <v/>
      </c>
      <c r="T9" s="44" t="str">
        <f t="shared" si="7"/>
        <v/>
      </c>
      <c r="U9" s="44" t="str">
        <f t="shared" ref="U9" si="8">IF(WEEKDAY(U10)=5,IF(ISERROR(_xlfn.ISOWEEKNUM(U10)),WEEKNUM(U10,2),_xlfn.ISOWEEKNUM(U10)),"")</f>
        <v/>
      </c>
      <c r="V9" s="44" t="str">
        <f t="shared" ref="V9" si="9">IF(WEEKDAY(V10)=5,IF(ISERROR(_xlfn.ISOWEEKNUM(V10)),WEEKNUM(V10,2),_xlfn.ISOWEEKNUM(V10)),"")</f>
        <v/>
      </c>
      <c r="W9" s="44" t="str">
        <f t="shared" ref="W9" si="10">IF(WEEKDAY(W10)=5,IF(ISERROR(_xlfn.ISOWEEKNUM(W10)),WEEKNUM(W10,2),_xlfn.ISOWEEKNUM(W10)),"")</f>
        <v/>
      </c>
      <c r="X9" s="44">
        <f t="shared" ref="X9" si="11">IF(WEEKDAY(X10)=5,IF(ISERROR(_xlfn.ISOWEEKNUM(X10)),WEEKNUM(X10,2),_xlfn.ISOWEEKNUM(X10)),"")</f>
        <v>39</v>
      </c>
      <c r="Y9" s="44" t="str">
        <f t="shared" ref="Y9" si="12">IF(WEEKDAY(Y10)=5,IF(ISERROR(_xlfn.ISOWEEKNUM(Y10)),WEEKNUM(Y10,2),_xlfn.ISOWEEKNUM(Y10)),"")</f>
        <v/>
      </c>
      <c r="Z9" s="44" t="str">
        <f t="shared" ref="Z9" si="13">IF(WEEKDAY(Z10)=5,IF(ISERROR(_xlfn.ISOWEEKNUM(Z10)),WEEKNUM(Z10,2),_xlfn.ISOWEEKNUM(Z10)),"")</f>
        <v/>
      </c>
      <c r="AA9" s="44" t="str">
        <f t="shared" ref="AA9" si="14">IF(WEEKDAY(AA10)=5,IF(ISERROR(_xlfn.ISOWEEKNUM(AA10)),WEEKNUM(AA10,2),_xlfn.ISOWEEKNUM(AA10)),"")</f>
        <v/>
      </c>
      <c r="AB9" s="44" t="str">
        <f t="shared" ref="AB9" si="15">IF(WEEKDAY(AB10)=5,IF(ISERROR(_xlfn.ISOWEEKNUM(AB10)),WEEKNUM(AB10,2),_xlfn.ISOWEEKNUM(AB10)),"")</f>
        <v/>
      </c>
      <c r="AC9" s="44" t="str">
        <f t="shared" ref="AC9" si="16">IF(WEEKDAY(AC10)=5,IF(ISERROR(_xlfn.ISOWEEKNUM(AC10)),WEEKNUM(AC10,2),_xlfn.ISOWEEKNUM(AC10)),"")</f>
        <v/>
      </c>
      <c r="AD9" s="44" t="str">
        <f t="shared" ref="AD9" si="17">IF(WEEKDAY(AD10)=5,IF(ISERROR(_xlfn.ISOWEEKNUM(AD10)),WEEKNUM(AD10,2),_xlfn.ISOWEEKNUM(AD10)),"")</f>
        <v/>
      </c>
      <c r="AE9" s="44">
        <f t="shared" ref="AE9" si="18">IF(WEEKDAY(AE10)=5,IF(ISERROR(_xlfn.ISOWEEKNUM(AE10)),WEEKNUM(AE10,2),_xlfn.ISOWEEKNUM(AE10)),"")</f>
        <v>40</v>
      </c>
      <c r="AF9" s="44" t="str">
        <f t="shared" ref="AF9" si="19">IF(WEEKDAY(AF10)=5,IF(ISERROR(_xlfn.ISOWEEKNUM(AF10)),WEEKNUM(AF10,2),_xlfn.ISOWEEKNUM(AF10)),"")</f>
        <v/>
      </c>
      <c r="AG9" s="44" t="str">
        <f t="shared" ref="AG9" si="20">IF(WEEKDAY(AG10)=5,IF(ISERROR(_xlfn.ISOWEEKNUM(AG10)),WEEKNUM(AG10,2),_xlfn.ISOWEEKNUM(AG10)),"")</f>
        <v/>
      </c>
      <c r="AH9" s="44" t="str">
        <f t="shared" ref="AH9" si="21">IF(WEEKDAY(AH10)=5,IF(ISERROR(_xlfn.ISOWEEKNUM(AH10)),WEEKNUM(AH10,2),_xlfn.ISOWEEKNUM(AH10)),"")</f>
        <v/>
      </c>
      <c r="AI9" s="44" t="str">
        <f t="shared" ref="AI9" si="22">IF(WEEKDAY(AI10)=5,IF(ISERROR(_xlfn.ISOWEEKNUM(AI10)),WEEKNUM(AI10,2),_xlfn.ISOWEEKNUM(AI10)),"")</f>
        <v/>
      </c>
      <c r="AJ9" s="44" t="str">
        <f t="shared" ref="AJ9" si="23">IF(WEEKDAY(AJ10)=5,IF(ISERROR(_xlfn.ISOWEEKNUM(AJ10)),WEEKNUM(AJ10,2),_xlfn.ISOWEEKNUM(AJ10)),"")</f>
        <v/>
      </c>
      <c r="AK9" s="44" t="str">
        <f t="shared" ref="AK9" si="24">IF(WEEKDAY(AK10)=5,IF(ISERROR(_xlfn.ISOWEEKNUM(AK10)),WEEKNUM(AK10,2),_xlfn.ISOWEEKNUM(AK10)),"")</f>
        <v/>
      </c>
      <c r="AL9" s="44">
        <f t="shared" ref="AL9" si="25">IF(WEEKDAY(AL10)=5,IF(ISERROR(_xlfn.ISOWEEKNUM(AL10)),WEEKNUM(AL10,2),_xlfn.ISOWEEKNUM(AL10)),"")</f>
        <v>41</v>
      </c>
      <c r="AM9" s="44" t="str">
        <f t="shared" ref="AM9" si="26">IF(WEEKDAY(AM10)=5,IF(ISERROR(_xlfn.ISOWEEKNUM(AM10)),WEEKNUM(AM10,2),_xlfn.ISOWEEKNUM(AM10)),"")</f>
        <v/>
      </c>
      <c r="AN9" s="44" t="str">
        <f t="shared" ref="AN9" si="27">IF(WEEKDAY(AN10)=5,IF(ISERROR(_xlfn.ISOWEEKNUM(AN10)),WEEKNUM(AN10,2),_xlfn.ISOWEEKNUM(AN10)),"")</f>
        <v/>
      </c>
      <c r="AO9" s="44" t="str">
        <f t="shared" ref="AO9" si="28">IF(WEEKDAY(AO10)=5,IF(ISERROR(_xlfn.ISOWEEKNUM(AO10)),WEEKNUM(AO10,2),_xlfn.ISOWEEKNUM(AO10)),"")</f>
        <v/>
      </c>
      <c r="AP9" s="44" t="str">
        <f t="shared" ref="AP9" si="29">IF(WEEKDAY(AP10)=5,IF(ISERROR(_xlfn.ISOWEEKNUM(AP10)),WEEKNUM(AP10,2),_xlfn.ISOWEEKNUM(AP10)),"")</f>
        <v/>
      </c>
      <c r="AQ9" s="44" t="str">
        <f t="shared" ref="AQ9" si="30">IF(WEEKDAY(AQ10)=5,IF(ISERROR(_xlfn.ISOWEEKNUM(AQ10)),WEEKNUM(AQ10,2),_xlfn.ISOWEEKNUM(AQ10)),"")</f>
        <v/>
      </c>
      <c r="AR9" s="44" t="str">
        <f t="shared" ref="AR9" si="31">IF(WEEKDAY(AR10)=5,IF(ISERROR(_xlfn.ISOWEEKNUM(AR10)),WEEKNUM(AR10,2),_xlfn.ISOWEEKNUM(AR10)),"")</f>
        <v/>
      </c>
      <c r="AS9" s="44">
        <f t="shared" ref="AS9" si="32">IF(WEEKDAY(AS10)=5,IF(ISERROR(_xlfn.ISOWEEKNUM(AS10)),WEEKNUM(AS10,2),_xlfn.ISOWEEKNUM(AS10)),"")</f>
        <v>42</v>
      </c>
      <c r="AT9" s="44" t="str">
        <f t="shared" ref="AT9" si="33">IF(WEEKDAY(AT10)=5,IF(ISERROR(_xlfn.ISOWEEKNUM(AT10)),WEEKNUM(AT10,2),_xlfn.ISOWEEKNUM(AT10)),"")</f>
        <v/>
      </c>
      <c r="AU9" s="44" t="str">
        <f t="shared" ref="AU9" si="34">IF(WEEKDAY(AU10)=5,IF(ISERROR(_xlfn.ISOWEEKNUM(AU10)),WEEKNUM(AU10,2),_xlfn.ISOWEEKNUM(AU10)),"")</f>
        <v/>
      </c>
      <c r="AV9" s="44" t="str">
        <f t="shared" ref="AV9" si="35">IF(WEEKDAY(AV10)=5,IF(ISERROR(_xlfn.ISOWEEKNUM(AV10)),WEEKNUM(AV10,2),_xlfn.ISOWEEKNUM(AV10)),"")</f>
        <v/>
      </c>
      <c r="AW9" s="44" t="str">
        <f t="shared" ref="AW9" si="36">IF(WEEKDAY(AW10)=5,IF(ISERROR(_xlfn.ISOWEEKNUM(AW10)),WEEKNUM(AW10,2),_xlfn.ISOWEEKNUM(AW10)),"")</f>
        <v/>
      </c>
      <c r="AX9" s="44" t="str">
        <f t="shared" ref="AX9" si="37">IF(WEEKDAY(AX10)=5,IF(ISERROR(_xlfn.ISOWEEKNUM(AX10)),WEEKNUM(AX10,2),_xlfn.ISOWEEKNUM(AX10)),"")</f>
        <v/>
      </c>
      <c r="AY9" s="44" t="str">
        <f t="shared" ref="AY9" si="38">IF(WEEKDAY(AY10)=5,IF(ISERROR(_xlfn.ISOWEEKNUM(AY10)),WEEKNUM(AY10,2),_xlfn.ISOWEEKNUM(AY10)),"")</f>
        <v/>
      </c>
      <c r="AZ9" s="44">
        <f t="shared" ref="AZ9" si="39">IF(WEEKDAY(AZ10)=5,IF(ISERROR(_xlfn.ISOWEEKNUM(AZ10)),WEEKNUM(AZ10,2),_xlfn.ISOWEEKNUM(AZ10)),"")</f>
        <v>43</v>
      </c>
      <c r="BA9" s="44" t="str">
        <f t="shared" ref="BA9" si="40">IF(WEEKDAY(BA10)=5,IF(ISERROR(_xlfn.ISOWEEKNUM(BA10)),WEEKNUM(BA10,2),_xlfn.ISOWEEKNUM(BA10)),"")</f>
        <v/>
      </c>
      <c r="BB9" s="44" t="str">
        <f t="shared" ref="BB9" si="41">IF(WEEKDAY(BB10)=5,IF(ISERROR(_xlfn.ISOWEEKNUM(BB10)),WEEKNUM(BB10,2),_xlfn.ISOWEEKNUM(BB10)),"")</f>
        <v/>
      </c>
      <c r="BC9" s="44" t="str">
        <f t="shared" ref="BC9" si="42">IF(WEEKDAY(BC10)=5,IF(ISERROR(_xlfn.ISOWEEKNUM(BC10)),WEEKNUM(BC10,2),_xlfn.ISOWEEKNUM(BC10)),"")</f>
        <v/>
      </c>
      <c r="BD9" s="44" t="str">
        <f t="shared" ref="BD9" si="43">IF(WEEKDAY(BD10)=5,IF(ISERROR(_xlfn.ISOWEEKNUM(BD10)),WEEKNUM(BD10,2),_xlfn.ISOWEEKNUM(BD10)),"")</f>
        <v/>
      </c>
      <c r="BE9" s="44" t="str">
        <f t="shared" ref="BE9" si="44">IF(WEEKDAY(BE10)=5,IF(ISERROR(_xlfn.ISOWEEKNUM(BE10)),WEEKNUM(BE10,2),_xlfn.ISOWEEKNUM(BE10)),"")</f>
        <v/>
      </c>
      <c r="BF9" s="44" t="str">
        <f t="shared" ref="BF9" si="45">IF(WEEKDAY(BF10)=5,IF(ISERROR(_xlfn.ISOWEEKNUM(BF10)),WEEKNUM(BF10,2),_xlfn.ISOWEEKNUM(BF10)),"")</f>
        <v/>
      </c>
      <c r="BG9" s="44">
        <f t="shared" ref="BG9" si="46">IF(WEEKDAY(BG10)=5,IF(ISERROR(_xlfn.ISOWEEKNUM(BG10)),WEEKNUM(BG10,2),_xlfn.ISOWEEKNUM(BG10)),"")</f>
        <v>44</v>
      </c>
      <c r="BH9" s="44" t="str">
        <f t="shared" ref="BH9" si="47">IF(WEEKDAY(BH10)=5,IF(ISERROR(_xlfn.ISOWEEKNUM(BH10)),WEEKNUM(BH10,2),_xlfn.ISOWEEKNUM(BH10)),"")</f>
        <v/>
      </c>
      <c r="BI9" s="44" t="str">
        <f t="shared" ref="BI9" si="48">IF(WEEKDAY(BI10)=5,IF(ISERROR(_xlfn.ISOWEEKNUM(BI10)),WEEKNUM(BI10,2),_xlfn.ISOWEEKNUM(BI10)),"")</f>
        <v/>
      </c>
      <c r="BJ9" s="44" t="str">
        <f t="shared" ref="BJ9" si="49">IF(WEEKDAY(BJ10)=5,IF(ISERROR(_xlfn.ISOWEEKNUM(BJ10)),WEEKNUM(BJ10,2),_xlfn.ISOWEEKNUM(BJ10)),"")</f>
        <v/>
      </c>
      <c r="BK9" s="44" t="str">
        <f t="shared" ref="BK9" si="50">IF(WEEKDAY(BK10)=5,IF(ISERROR(_xlfn.ISOWEEKNUM(BK10)),WEEKNUM(BK10,2),_xlfn.ISOWEEKNUM(BK10)),"")</f>
        <v/>
      </c>
      <c r="BL9" s="44" t="str">
        <f t="shared" ref="BL9" si="51">IF(WEEKDAY(BL10)=5,IF(ISERROR(_xlfn.ISOWEEKNUM(BL10)),WEEKNUM(BL10,2),_xlfn.ISOWEEKNUM(BL10)),"")</f>
        <v/>
      </c>
      <c r="BM9" s="44" t="str">
        <f t="shared" ref="BM9" si="52">IF(WEEKDAY(BM10)=5,IF(ISERROR(_xlfn.ISOWEEKNUM(BM10)),WEEKNUM(BM10,2),_xlfn.ISOWEEKNUM(BM10)),"")</f>
        <v/>
      </c>
      <c r="BN9" s="44">
        <f t="shared" ref="BN9" si="53">IF(WEEKDAY(BN10)=5,IF(ISERROR(_xlfn.ISOWEEKNUM(BN10)),WEEKNUM(BN10,2),_xlfn.ISOWEEKNUM(BN10)),"")</f>
        <v>45</v>
      </c>
      <c r="BO9" s="44" t="str">
        <f t="shared" ref="BO9" si="54">IF(WEEKDAY(BO10)=5,IF(ISERROR(_xlfn.ISOWEEKNUM(BO10)),WEEKNUM(BO10,2),_xlfn.ISOWEEKNUM(BO10)),"")</f>
        <v/>
      </c>
      <c r="BP9" s="44" t="str">
        <f t="shared" ref="BP9" si="55">IF(WEEKDAY(BP10)=5,IF(ISERROR(_xlfn.ISOWEEKNUM(BP10)),WEEKNUM(BP10,2),_xlfn.ISOWEEKNUM(BP10)),"")</f>
        <v/>
      </c>
      <c r="BQ9" s="44" t="str">
        <f t="shared" ref="BQ9" si="56">IF(WEEKDAY(BQ10)=5,IF(ISERROR(_xlfn.ISOWEEKNUM(BQ10)),WEEKNUM(BQ10,2),_xlfn.ISOWEEKNUM(BQ10)),"")</f>
        <v/>
      </c>
      <c r="BR9" s="44" t="str">
        <f t="shared" ref="BR9" si="57">IF(WEEKDAY(BR10)=5,IF(ISERROR(_xlfn.ISOWEEKNUM(BR10)),WEEKNUM(BR10,2),_xlfn.ISOWEEKNUM(BR10)),"")</f>
        <v/>
      </c>
      <c r="BS9" s="44" t="str">
        <f t="shared" ref="BS9" si="58">IF(WEEKDAY(BS10)=5,IF(ISERROR(_xlfn.ISOWEEKNUM(BS10)),WEEKNUM(BS10,2),_xlfn.ISOWEEKNUM(BS10)),"")</f>
        <v/>
      </c>
      <c r="BT9" s="44" t="str">
        <f t="shared" ref="BT9" si="59">IF(WEEKDAY(BT10)=5,IF(ISERROR(_xlfn.ISOWEEKNUM(BT10)),WEEKNUM(BT10,2),_xlfn.ISOWEEKNUM(BT10)),"")</f>
        <v/>
      </c>
      <c r="BU9" s="44">
        <f t="shared" ref="BU9" si="60">IF(WEEKDAY(BU10)=5,IF(ISERROR(_xlfn.ISOWEEKNUM(BU10)),WEEKNUM(BU10,2),_xlfn.ISOWEEKNUM(BU10)),"")</f>
        <v>46</v>
      </c>
      <c r="BV9" s="44" t="str">
        <f t="shared" ref="BV9" si="61">IF(WEEKDAY(BV10)=5,IF(ISERROR(_xlfn.ISOWEEKNUM(BV10)),WEEKNUM(BV10,2),_xlfn.ISOWEEKNUM(BV10)),"")</f>
        <v/>
      </c>
      <c r="BW9" s="44" t="str">
        <f t="shared" ref="BW9" si="62">IF(WEEKDAY(BW10)=5,IF(ISERROR(_xlfn.ISOWEEKNUM(BW10)),WEEKNUM(BW10,2),_xlfn.ISOWEEKNUM(BW10)),"")</f>
        <v/>
      </c>
      <c r="BX9" s="44" t="str">
        <f t="shared" ref="BX9" si="63">IF(WEEKDAY(BX10)=5,IF(ISERROR(_xlfn.ISOWEEKNUM(BX10)),WEEKNUM(BX10,2),_xlfn.ISOWEEKNUM(BX10)),"")</f>
        <v/>
      </c>
      <c r="BY9" s="44" t="str">
        <f t="shared" ref="BY9" si="64">IF(WEEKDAY(BY10)=5,IF(ISERROR(_xlfn.ISOWEEKNUM(BY10)),WEEKNUM(BY10,2),_xlfn.ISOWEEKNUM(BY10)),"")</f>
        <v/>
      </c>
      <c r="BZ9" s="44" t="str">
        <f t="shared" ref="BZ9" si="65">IF(WEEKDAY(BZ10)=5,IF(ISERROR(_xlfn.ISOWEEKNUM(BZ10)),WEEKNUM(BZ10,2),_xlfn.ISOWEEKNUM(BZ10)),"")</f>
        <v/>
      </c>
      <c r="CA9" s="44" t="str">
        <f t="shared" ref="CA9" si="66">IF(WEEKDAY(CA10)=5,IF(ISERROR(_xlfn.ISOWEEKNUM(CA10)),WEEKNUM(CA10,2),_xlfn.ISOWEEKNUM(CA10)),"")</f>
        <v/>
      </c>
      <c r="CB9" s="44">
        <f t="shared" ref="CB9" si="67">IF(WEEKDAY(CB10)=5,IF(ISERROR(_xlfn.ISOWEEKNUM(CB10)),WEEKNUM(CB10,2),_xlfn.ISOWEEKNUM(CB10)),"")</f>
        <v>47</v>
      </c>
      <c r="CC9" s="44" t="str">
        <f t="shared" ref="CC9" si="68">IF(WEEKDAY(CC10)=5,IF(ISERROR(_xlfn.ISOWEEKNUM(CC10)),WEEKNUM(CC10,2),_xlfn.ISOWEEKNUM(CC10)),"")</f>
        <v/>
      </c>
      <c r="CD9" s="44" t="str">
        <f t="shared" ref="CD9" si="69">IF(WEEKDAY(CD10)=5,IF(ISERROR(_xlfn.ISOWEEKNUM(CD10)),WEEKNUM(CD10,2),_xlfn.ISOWEEKNUM(CD10)),"")</f>
        <v/>
      </c>
      <c r="CE9" s="44" t="str">
        <f t="shared" ref="CE9" si="70">IF(WEEKDAY(CE10)=5,IF(ISERROR(_xlfn.ISOWEEKNUM(CE10)),WEEKNUM(CE10,2),_xlfn.ISOWEEKNUM(CE10)),"")</f>
        <v/>
      </c>
      <c r="CF9" s="44" t="str">
        <f t="shared" ref="CF9" si="71">IF(WEEKDAY(CF10)=5,IF(ISERROR(_xlfn.ISOWEEKNUM(CF10)),WEEKNUM(CF10,2),_xlfn.ISOWEEKNUM(CF10)),"")</f>
        <v/>
      </c>
      <c r="CG9" s="44" t="str">
        <f t="shared" ref="CG9" si="72">IF(WEEKDAY(CG10)=5,IF(ISERROR(_xlfn.ISOWEEKNUM(CG10)),WEEKNUM(CG10,2),_xlfn.ISOWEEKNUM(CG10)),"")</f>
        <v/>
      </c>
      <c r="CH9" s="44" t="str">
        <f t="shared" ref="CH9" si="73">IF(WEEKDAY(CH10)=5,IF(ISERROR(_xlfn.ISOWEEKNUM(CH10)),WEEKNUM(CH10,2),_xlfn.ISOWEEKNUM(CH10)),"")</f>
        <v/>
      </c>
      <c r="CI9" s="44">
        <f t="shared" ref="CI9" si="74">IF(WEEKDAY(CI10)=5,IF(ISERROR(_xlfn.ISOWEEKNUM(CI10)),WEEKNUM(CI10,2),_xlfn.ISOWEEKNUM(CI10)),"")</f>
        <v>48</v>
      </c>
      <c r="CJ9" s="44" t="str">
        <f t="shared" ref="CJ9" si="75">IF(WEEKDAY(CJ10)=5,IF(ISERROR(_xlfn.ISOWEEKNUM(CJ10)),WEEKNUM(CJ10,2),_xlfn.ISOWEEKNUM(CJ10)),"")</f>
        <v/>
      </c>
      <c r="CK9" s="44" t="str">
        <f t="shared" ref="CK9" si="76">IF(WEEKDAY(CK10)=5,IF(ISERROR(_xlfn.ISOWEEKNUM(CK10)),WEEKNUM(CK10,2),_xlfn.ISOWEEKNUM(CK10)),"")</f>
        <v/>
      </c>
      <c r="CL9" s="44" t="str">
        <f t="shared" ref="CL9" si="77">IF(WEEKDAY(CL10)=5,IF(ISERROR(_xlfn.ISOWEEKNUM(CL10)),WEEKNUM(CL10,2),_xlfn.ISOWEEKNUM(CL10)),"")</f>
        <v/>
      </c>
      <c r="CM9" s="44" t="str">
        <f t="shared" ref="CM9" si="78">IF(WEEKDAY(CM10)=5,IF(ISERROR(_xlfn.ISOWEEKNUM(CM10)),WEEKNUM(CM10,2),_xlfn.ISOWEEKNUM(CM10)),"")</f>
        <v/>
      </c>
      <c r="CN9" s="44" t="str">
        <f t="shared" ref="CN9" si="79">IF(WEEKDAY(CN10)=5,IF(ISERROR(_xlfn.ISOWEEKNUM(CN10)),WEEKNUM(CN10,2),_xlfn.ISOWEEKNUM(CN10)),"")</f>
        <v/>
      </c>
      <c r="CO9" s="44" t="str">
        <f t="shared" ref="CO9" si="80">IF(WEEKDAY(CO10)=5,IF(ISERROR(_xlfn.ISOWEEKNUM(CO10)),WEEKNUM(CO10,2),_xlfn.ISOWEEKNUM(CO10)),"")</f>
        <v/>
      </c>
      <c r="CP9" s="44">
        <f t="shared" ref="CP9" si="81">IF(WEEKDAY(CP10)=5,IF(ISERROR(_xlfn.ISOWEEKNUM(CP10)),WEEKNUM(CP10,2),_xlfn.ISOWEEKNUM(CP10)),"")</f>
        <v>49</v>
      </c>
      <c r="CQ9" s="44" t="str">
        <f t="shared" ref="CQ9" si="82">IF(WEEKDAY(CQ10)=5,IF(ISERROR(_xlfn.ISOWEEKNUM(CQ10)),WEEKNUM(CQ10,2),_xlfn.ISOWEEKNUM(CQ10)),"")</f>
        <v/>
      </c>
      <c r="CR9" s="44" t="str">
        <f t="shared" ref="CR9" si="83">IF(WEEKDAY(CR10)=5,IF(ISERROR(_xlfn.ISOWEEKNUM(CR10)),WEEKNUM(CR10,2),_xlfn.ISOWEEKNUM(CR10)),"")</f>
        <v/>
      </c>
      <c r="CS9" s="44" t="str">
        <f t="shared" ref="CS9" si="84">IF(WEEKDAY(CS10)=5,IF(ISERROR(_xlfn.ISOWEEKNUM(CS10)),WEEKNUM(CS10,2),_xlfn.ISOWEEKNUM(CS10)),"")</f>
        <v/>
      </c>
      <c r="CT9" s="44" t="str">
        <f t="shared" ref="CT9" si="85">IF(WEEKDAY(CT10)=5,IF(ISERROR(_xlfn.ISOWEEKNUM(CT10)),WEEKNUM(CT10,2),_xlfn.ISOWEEKNUM(CT10)),"")</f>
        <v/>
      </c>
      <c r="CU9" s="44" t="str">
        <f t="shared" ref="CU9" si="86">IF(WEEKDAY(CU10)=5,IF(ISERROR(_xlfn.ISOWEEKNUM(CU10)),WEEKNUM(CU10,2),_xlfn.ISOWEEKNUM(CU10)),"")</f>
        <v/>
      </c>
      <c r="CV9" s="44" t="str">
        <f t="shared" ref="CV9" si="87">IF(WEEKDAY(CV10)=5,IF(ISERROR(_xlfn.ISOWEEKNUM(CV10)),WEEKNUM(CV10,2),_xlfn.ISOWEEKNUM(CV10)),"")</f>
        <v/>
      </c>
      <c r="CW9" s="44">
        <f t="shared" ref="CW9" si="88">IF(WEEKDAY(CW10)=5,IF(ISERROR(_xlfn.ISOWEEKNUM(CW10)),WEEKNUM(CW10,2),_xlfn.ISOWEEKNUM(CW10)),"")</f>
        <v>50</v>
      </c>
      <c r="CX9" s="44" t="str">
        <f t="shared" ref="CX9" si="89">IF(WEEKDAY(CX10)=5,IF(ISERROR(_xlfn.ISOWEEKNUM(CX10)),WEEKNUM(CX10,2),_xlfn.ISOWEEKNUM(CX10)),"")</f>
        <v/>
      </c>
      <c r="CY9" s="44" t="str">
        <f t="shared" ref="CY9" si="90">IF(WEEKDAY(CY10)=5,IF(ISERROR(_xlfn.ISOWEEKNUM(CY10)),WEEKNUM(CY10,2),_xlfn.ISOWEEKNUM(CY10)),"")</f>
        <v/>
      </c>
      <c r="CZ9" s="44" t="str">
        <f t="shared" ref="CZ9" si="91">IF(WEEKDAY(CZ10)=5,IF(ISERROR(_xlfn.ISOWEEKNUM(CZ10)),WEEKNUM(CZ10,2),_xlfn.ISOWEEKNUM(CZ10)),"")</f>
        <v/>
      </c>
      <c r="DA9" s="44" t="str">
        <f t="shared" ref="DA9" si="92">IF(WEEKDAY(DA10)=5,IF(ISERROR(_xlfn.ISOWEEKNUM(DA10)),WEEKNUM(DA10,2),_xlfn.ISOWEEKNUM(DA10)),"")</f>
        <v/>
      </c>
      <c r="DB9" s="44" t="str">
        <f t="shared" ref="DB9" si="93">IF(WEEKDAY(DB10)=5,IF(ISERROR(_xlfn.ISOWEEKNUM(DB10)),WEEKNUM(DB10,2),_xlfn.ISOWEEKNUM(DB10)),"")</f>
        <v/>
      </c>
      <c r="DC9" s="44" t="str">
        <f t="shared" ref="DC9" si="94">IF(WEEKDAY(DC10)=5,IF(ISERROR(_xlfn.ISOWEEKNUM(DC10)),WEEKNUM(DC10,2),_xlfn.ISOWEEKNUM(DC10)),"")</f>
        <v/>
      </c>
      <c r="DD9" s="44">
        <f t="shared" ref="DD9" si="95">IF(WEEKDAY(DD10)=5,IF(ISERROR(_xlfn.ISOWEEKNUM(DD10)),WEEKNUM(DD10,2),_xlfn.ISOWEEKNUM(DD10)),"")</f>
        <v>51</v>
      </c>
      <c r="DE9" s="44" t="str">
        <f t="shared" ref="DE9" si="96">IF(WEEKDAY(DE10)=5,IF(ISERROR(_xlfn.ISOWEEKNUM(DE10)),WEEKNUM(DE10,2),_xlfn.ISOWEEKNUM(DE10)),"")</f>
        <v/>
      </c>
      <c r="DF9" s="44" t="str">
        <f t="shared" ref="DF9" si="97">IF(WEEKDAY(DF10)=5,IF(ISERROR(_xlfn.ISOWEEKNUM(DF10)),WEEKNUM(DF10,2),_xlfn.ISOWEEKNUM(DF10)),"")</f>
        <v/>
      </c>
      <c r="DG9" s="44" t="str">
        <f t="shared" ref="DG9" si="98">IF(WEEKDAY(DG10)=5,IF(ISERROR(_xlfn.ISOWEEKNUM(DG10)),WEEKNUM(DG10,2),_xlfn.ISOWEEKNUM(DG10)),"")</f>
        <v/>
      </c>
      <c r="DH9" s="44" t="str">
        <f t="shared" ref="DH9" si="99">IF(WEEKDAY(DH10)=5,IF(ISERROR(_xlfn.ISOWEEKNUM(DH10)),WEEKNUM(DH10,2),_xlfn.ISOWEEKNUM(DH10)),"")</f>
        <v/>
      </c>
      <c r="DI9" s="44" t="str">
        <f t="shared" ref="DI9" si="100">IF(WEEKDAY(DI10)=5,IF(ISERROR(_xlfn.ISOWEEKNUM(DI10)),WEEKNUM(DI10,2),_xlfn.ISOWEEKNUM(DI10)),"")</f>
        <v/>
      </c>
      <c r="DJ9" s="44" t="str">
        <f t="shared" ref="DJ9" si="101">IF(WEEKDAY(DJ10)=5,IF(ISERROR(_xlfn.ISOWEEKNUM(DJ10)),WEEKNUM(DJ10,2),_xlfn.ISOWEEKNUM(DJ10)),"")</f>
        <v/>
      </c>
      <c r="DK9" s="44">
        <f t="shared" ref="DK9" si="102">IF(WEEKDAY(DK10)=5,IF(ISERROR(_xlfn.ISOWEEKNUM(DK10)),WEEKNUM(DK10,2),_xlfn.ISOWEEKNUM(DK10)),"")</f>
        <v>52</v>
      </c>
      <c r="DL9" s="44" t="str">
        <f t="shared" ref="DL9" si="103">IF(WEEKDAY(DL10)=5,IF(ISERROR(_xlfn.ISOWEEKNUM(DL10)),WEEKNUM(DL10,2),_xlfn.ISOWEEKNUM(DL10)),"")</f>
        <v/>
      </c>
      <c r="DM9" s="44" t="str">
        <f t="shared" ref="DM9" si="104">IF(WEEKDAY(DM10)=5,IF(ISERROR(_xlfn.ISOWEEKNUM(DM10)),WEEKNUM(DM10,2),_xlfn.ISOWEEKNUM(DM10)),"")</f>
        <v/>
      </c>
      <c r="DN9" s="44" t="str">
        <f t="shared" ref="DN9" si="105">IF(WEEKDAY(DN10)=5,IF(ISERROR(_xlfn.ISOWEEKNUM(DN10)),WEEKNUM(DN10,2),_xlfn.ISOWEEKNUM(DN10)),"")</f>
        <v/>
      </c>
      <c r="DO9" s="44" t="str">
        <f t="shared" ref="DO9" si="106">IF(WEEKDAY(DO10)=5,IF(ISERROR(_xlfn.ISOWEEKNUM(DO10)),WEEKNUM(DO10,2),_xlfn.ISOWEEKNUM(DO10)),"")</f>
        <v/>
      </c>
      <c r="DP9" s="44" t="str">
        <f t="shared" ref="DP9" si="107">IF(WEEKDAY(DP10)=5,IF(ISERROR(_xlfn.ISOWEEKNUM(DP10)),WEEKNUM(DP10,2),_xlfn.ISOWEEKNUM(DP10)),"")</f>
        <v/>
      </c>
      <c r="DQ9" s="44" t="str">
        <f t="shared" ref="DQ9" si="108">IF(WEEKDAY(DQ10)=5,IF(ISERROR(_xlfn.ISOWEEKNUM(DQ10)),WEEKNUM(DQ10,2),_xlfn.ISOWEEKNUM(DQ10)),"")</f>
        <v/>
      </c>
      <c r="DR9" s="44">
        <f t="shared" ref="DR9" si="109">IF(WEEKDAY(DR10)=5,IF(ISERROR(_xlfn.ISOWEEKNUM(DR10)),WEEKNUM(DR10,2),_xlfn.ISOWEEKNUM(DR10)),"")</f>
        <v>1</v>
      </c>
      <c r="DS9" s="44" t="str">
        <f t="shared" ref="DS9" si="110">IF(WEEKDAY(DS10)=5,IF(ISERROR(_xlfn.ISOWEEKNUM(DS10)),WEEKNUM(DS10,2),_xlfn.ISOWEEKNUM(DS10)),"")</f>
        <v/>
      </c>
      <c r="DT9" s="44" t="str">
        <f t="shared" ref="DT9" si="111">IF(WEEKDAY(DT10)=5,IF(ISERROR(_xlfn.ISOWEEKNUM(DT10)),WEEKNUM(DT10,2),_xlfn.ISOWEEKNUM(DT10)),"")</f>
        <v/>
      </c>
      <c r="DU9" s="44" t="str">
        <f t="shared" ref="DU9" si="112">IF(WEEKDAY(DU10)=5,IF(ISERROR(_xlfn.ISOWEEKNUM(DU10)),WEEKNUM(DU10,2),_xlfn.ISOWEEKNUM(DU10)),"")</f>
        <v/>
      </c>
      <c r="DV9" s="44" t="str">
        <f t="shared" ref="DV9" si="113">IF(WEEKDAY(DV10)=5,IF(ISERROR(_xlfn.ISOWEEKNUM(DV10)),WEEKNUM(DV10,2),_xlfn.ISOWEEKNUM(DV10)),"")</f>
        <v/>
      </c>
      <c r="DW9" s="44" t="str">
        <f t="shared" ref="DW9" si="114">IF(WEEKDAY(DW10)=5,IF(ISERROR(_xlfn.ISOWEEKNUM(DW10)),WEEKNUM(DW10,2),_xlfn.ISOWEEKNUM(DW10)),"")</f>
        <v/>
      </c>
      <c r="DX9" s="44" t="str">
        <f t="shared" ref="DX9" si="115">IF(WEEKDAY(DX10)=5,IF(ISERROR(_xlfn.ISOWEEKNUM(DX10)),WEEKNUM(DX10,2),_xlfn.ISOWEEKNUM(DX10)),"")</f>
        <v/>
      </c>
      <c r="DY9" s="44">
        <f t="shared" ref="DY9" si="116">IF(WEEKDAY(DY10)=5,IF(ISERROR(_xlfn.ISOWEEKNUM(DY10)),WEEKNUM(DY10,2),_xlfn.ISOWEEKNUM(DY10)),"")</f>
        <v>2</v>
      </c>
      <c r="DZ9" s="44" t="str">
        <f t="shared" ref="DZ9" si="117">IF(WEEKDAY(DZ10)=5,IF(ISERROR(_xlfn.ISOWEEKNUM(DZ10)),WEEKNUM(DZ10,2),_xlfn.ISOWEEKNUM(DZ10)),"")</f>
        <v/>
      </c>
      <c r="EA9" s="44" t="str">
        <f t="shared" ref="EA9" si="118">IF(WEEKDAY(EA10)=5,IF(ISERROR(_xlfn.ISOWEEKNUM(EA10)),WEEKNUM(EA10,2),_xlfn.ISOWEEKNUM(EA10)),"")</f>
        <v/>
      </c>
      <c r="EB9" s="44" t="str">
        <f t="shared" ref="EB9" si="119">IF(WEEKDAY(EB10)=5,IF(ISERROR(_xlfn.ISOWEEKNUM(EB10)),WEEKNUM(EB10,2),_xlfn.ISOWEEKNUM(EB10)),"")</f>
        <v/>
      </c>
      <c r="EC9" s="44" t="str">
        <f t="shared" ref="EC9" si="120">IF(WEEKDAY(EC10)=5,IF(ISERROR(_xlfn.ISOWEEKNUM(EC10)),WEEKNUM(EC10,2),_xlfn.ISOWEEKNUM(EC10)),"")</f>
        <v/>
      </c>
      <c r="ED9" s="44" t="str">
        <f t="shared" ref="ED9" si="121">IF(WEEKDAY(ED10)=5,IF(ISERROR(_xlfn.ISOWEEKNUM(ED10)),WEEKNUM(ED10,2),_xlfn.ISOWEEKNUM(ED10)),"")</f>
        <v/>
      </c>
      <c r="EE9" s="44" t="str">
        <f t="shared" ref="EE9" si="122">IF(WEEKDAY(EE10)=5,IF(ISERROR(_xlfn.ISOWEEKNUM(EE10)),WEEKNUM(EE10,2),_xlfn.ISOWEEKNUM(EE10)),"")</f>
        <v/>
      </c>
      <c r="EF9" s="44">
        <f t="shared" ref="EF9" si="123">IF(WEEKDAY(EF10)=5,IF(ISERROR(_xlfn.ISOWEEKNUM(EF10)),WEEKNUM(EF10,2),_xlfn.ISOWEEKNUM(EF10)),"")</f>
        <v>3</v>
      </c>
      <c r="EG9" s="44" t="str">
        <f t="shared" ref="EG9" si="124">IF(WEEKDAY(EG10)=5,IF(ISERROR(_xlfn.ISOWEEKNUM(EG10)),WEEKNUM(EG10,2),_xlfn.ISOWEEKNUM(EG10)),"")</f>
        <v/>
      </c>
      <c r="EH9" s="44" t="str">
        <f t="shared" ref="EH9" si="125">IF(WEEKDAY(EH10)=5,IF(ISERROR(_xlfn.ISOWEEKNUM(EH10)),WEEKNUM(EH10,2),_xlfn.ISOWEEKNUM(EH10)),"")</f>
        <v/>
      </c>
      <c r="EI9" s="44" t="str">
        <f t="shared" ref="EI9" si="126">IF(WEEKDAY(EI10)=5,IF(ISERROR(_xlfn.ISOWEEKNUM(EI10)),WEEKNUM(EI10,2),_xlfn.ISOWEEKNUM(EI10)),"")</f>
        <v/>
      </c>
      <c r="EJ9" s="44" t="str">
        <f t="shared" ref="EJ9" si="127">IF(WEEKDAY(EJ10)=5,IF(ISERROR(_xlfn.ISOWEEKNUM(EJ10)),WEEKNUM(EJ10,2),_xlfn.ISOWEEKNUM(EJ10)),"")</f>
        <v/>
      </c>
      <c r="EK9" s="44" t="str">
        <f t="shared" ref="EK9" si="128">IF(WEEKDAY(EK10)=5,IF(ISERROR(_xlfn.ISOWEEKNUM(EK10)),WEEKNUM(EK10,2),_xlfn.ISOWEEKNUM(EK10)),"")</f>
        <v/>
      </c>
      <c r="EL9" s="44" t="str">
        <f t="shared" ref="EL9" si="129">IF(WEEKDAY(EL10)=5,IF(ISERROR(_xlfn.ISOWEEKNUM(EL10)),WEEKNUM(EL10,2),_xlfn.ISOWEEKNUM(EL10)),"")</f>
        <v/>
      </c>
      <c r="EM9" s="44">
        <f t="shared" ref="EM9" si="130">IF(WEEKDAY(EM10)=5,IF(ISERROR(_xlfn.ISOWEEKNUM(EM10)),WEEKNUM(EM10,2),_xlfn.ISOWEEKNUM(EM10)),"")</f>
        <v>4</v>
      </c>
      <c r="EN9" s="44" t="str">
        <f t="shared" ref="EN9" si="131">IF(WEEKDAY(EN10)=5,IF(ISERROR(_xlfn.ISOWEEKNUM(EN10)),WEEKNUM(EN10,2),_xlfn.ISOWEEKNUM(EN10)),"")</f>
        <v/>
      </c>
      <c r="EO9" s="44" t="str">
        <f t="shared" ref="EO9" si="132">IF(WEEKDAY(EO10)=5,IF(ISERROR(_xlfn.ISOWEEKNUM(EO10)),WEEKNUM(EO10,2),_xlfn.ISOWEEKNUM(EO10)),"")</f>
        <v/>
      </c>
      <c r="EP9" s="44" t="str">
        <f t="shared" ref="EP9" si="133">IF(WEEKDAY(EP10)=5,IF(ISERROR(_xlfn.ISOWEEKNUM(EP10)),WEEKNUM(EP10,2),_xlfn.ISOWEEKNUM(EP10)),"")</f>
        <v/>
      </c>
      <c r="EQ9" s="44" t="str">
        <f t="shared" ref="EQ9" si="134">IF(WEEKDAY(EQ10)=5,IF(ISERROR(_xlfn.ISOWEEKNUM(EQ10)),WEEKNUM(EQ10,2),_xlfn.ISOWEEKNUM(EQ10)),"")</f>
        <v/>
      </c>
      <c r="ER9" s="44" t="str">
        <f t="shared" ref="ER9" si="135">IF(WEEKDAY(ER10)=5,IF(ISERROR(_xlfn.ISOWEEKNUM(ER10)),WEEKNUM(ER10,2),_xlfn.ISOWEEKNUM(ER10)),"")</f>
        <v/>
      </c>
      <c r="ES9" s="44" t="str">
        <f t="shared" ref="ES9" si="136">IF(WEEKDAY(ES10)=5,IF(ISERROR(_xlfn.ISOWEEKNUM(ES10)),WEEKNUM(ES10,2),_xlfn.ISOWEEKNUM(ES10)),"")</f>
        <v/>
      </c>
      <c r="ET9" s="44">
        <f t="shared" ref="ET9" si="137">IF(WEEKDAY(ET10)=5,IF(ISERROR(_xlfn.ISOWEEKNUM(ET10)),WEEKNUM(ET10,2),_xlfn.ISOWEEKNUM(ET10)),"")</f>
        <v>5</v>
      </c>
      <c r="EU9" s="44" t="str">
        <f t="shared" ref="EU9" si="138">IF(WEEKDAY(EU10)=5,IF(ISERROR(_xlfn.ISOWEEKNUM(EU10)),WEEKNUM(EU10,2),_xlfn.ISOWEEKNUM(EU10)),"")</f>
        <v/>
      </c>
      <c r="EV9" s="44" t="str">
        <f t="shared" ref="EV9" si="139">IF(WEEKDAY(EV10)=5,IF(ISERROR(_xlfn.ISOWEEKNUM(EV10)),WEEKNUM(EV10,2),_xlfn.ISOWEEKNUM(EV10)),"")</f>
        <v/>
      </c>
      <c r="EW9" s="44" t="str">
        <f t="shared" ref="EW9" si="140">IF(WEEKDAY(EW10)=5,IF(ISERROR(_xlfn.ISOWEEKNUM(EW10)),WEEKNUM(EW10,2),_xlfn.ISOWEEKNUM(EW10)),"")</f>
        <v/>
      </c>
      <c r="EX9" s="44" t="str">
        <f t="shared" ref="EX9" si="141">IF(WEEKDAY(EX10)=5,IF(ISERROR(_xlfn.ISOWEEKNUM(EX10)),WEEKNUM(EX10,2),_xlfn.ISOWEEKNUM(EX10)),"")</f>
        <v/>
      </c>
      <c r="EY9" s="44" t="str">
        <f t="shared" ref="EY9" si="142">IF(WEEKDAY(EY10)=5,IF(ISERROR(_xlfn.ISOWEEKNUM(EY10)),WEEKNUM(EY10,2),_xlfn.ISOWEEKNUM(EY10)),"")</f>
        <v/>
      </c>
      <c r="EZ9" s="44" t="str">
        <f t="shared" ref="EZ9" si="143">IF(WEEKDAY(EZ10)=5,IF(ISERROR(_xlfn.ISOWEEKNUM(EZ10)),WEEKNUM(EZ10,2),_xlfn.ISOWEEKNUM(EZ10)),"")</f>
        <v/>
      </c>
      <c r="FA9" s="44">
        <f t="shared" ref="FA9" si="144">IF(WEEKDAY(FA10)=5,IF(ISERROR(_xlfn.ISOWEEKNUM(FA10)),WEEKNUM(FA10,2),_xlfn.ISOWEEKNUM(FA10)),"")</f>
        <v>6</v>
      </c>
      <c r="FB9" s="44" t="str">
        <f t="shared" ref="FB9" si="145">IF(WEEKDAY(FB10)=5,IF(ISERROR(_xlfn.ISOWEEKNUM(FB10)),WEEKNUM(FB10,2),_xlfn.ISOWEEKNUM(FB10)),"")</f>
        <v/>
      </c>
      <c r="FC9" s="44" t="str">
        <f t="shared" ref="FC9" si="146">IF(WEEKDAY(FC10)=5,IF(ISERROR(_xlfn.ISOWEEKNUM(FC10)),WEEKNUM(FC10,2),_xlfn.ISOWEEKNUM(FC10)),"")</f>
        <v/>
      </c>
      <c r="FD9" s="44" t="str">
        <f t="shared" ref="FD9" si="147">IF(WEEKDAY(FD10)=5,IF(ISERROR(_xlfn.ISOWEEKNUM(FD10)),WEEKNUM(FD10,2),_xlfn.ISOWEEKNUM(FD10)),"")</f>
        <v/>
      </c>
      <c r="FE9" s="44" t="str">
        <f t="shared" ref="FE9" si="148">IF(WEEKDAY(FE10)=5,IF(ISERROR(_xlfn.ISOWEEKNUM(FE10)),WEEKNUM(FE10,2),_xlfn.ISOWEEKNUM(FE10)),"")</f>
        <v/>
      </c>
      <c r="FF9" s="44" t="str">
        <f t="shared" ref="FF9" si="149">IF(WEEKDAY(FF10)=5,IF(ISERROR(_xlfn.ISOWEEKNUM(FF10)),WEEKNUM(FF10,2),_xlfn.ISOWEEKNUM(FF10)),"")</f>
        <v/>
      </c>
      <c r="FG9" s="44" t="str">
        <f t="shared" ref="FG9" si="150">IF(WEEKDAY(FG10)=5,IF(ISERROR(_xlfn.ISOWEEKNUM(FG10)),WEEKNUM(FG10,2),_xlfn.ISOWEEKNUM(FG10)),"")</f>
        <v/>
      </c>
      <c r="FH9" s="44">
        <f t="shared" ref="FH9" si="151">IF(WEEKDAY(FH10)=5,IF(ISERROR(_xlfn.ISOWEEKNUM(FH10)),WEEKNUM(FH10,2),_xlfn.ISOWEEKNUM(FH10)),"")</f>
        <v>7</v>
      </c>
      <c r="FI9" s="44" t="str">
        <f t="shared" ref="FI9" si="152">IF(WEEKDAY(FI10)=5,IF(ISERROR(_xlfn.ISOWEEKNUM(FI10)),WEEKNUM(FI10,2),_xlfn.ISOWEEKNUM(FI10)),"")</f>
        <v/>
      </c>
      <c r="FJ9" s="44" t="str">
        <f t="shared" ref="FJ9" si="153">IF(WEEKDAY(FJ10)=5,IF(ISERROR(_xlfn.ISOWEEKNUM(FJ10)),WEEKNUM(FJ10,2),_xlfn.ISOWEEKNUM(FJ10)),"")</f>
        <v/>
      </c>
      <c r="FK9" s="44" t="str">
        <f t="shared" ref="FK9" si="154">IF(WEEKDAY(FK10)=5,IF(ISERROR(_xlfn.ISOWEEKNUM(FK10)),WEEKNUM(FK10,2),_xlfn.ISOWEEKNUM(FK10)),"")</f>
        <v/>
      </c>
      <c r="FL9" s="44" t="str">
        <f t="shared" ref="FL9" si="155">IF(WEEKDAY(FL10)=5,IF(ISERROR(_xlfn.ISOWEEKNUM(FL10)),WEEKNUM(FL10,2),_xlfn.ISOWEEKNUM(FL10)),"")</f>
        <v/>
      </c>
      <c r="FM9" s="44" t="str">
        <f t="shared" ref="FM9" si="156">IF(WEEKDAY(FM10)=5,IF(ISERROR(_xlfn.ISOWEEKNUM(FM10)),WEEKNUM(FM10,2),_xlfn.ISOWEEKNUM(FM10)),"")</f>
        <v/>
      </c>
      <c r="FN9" s="44" t="str">
        <f t="shared" ref="FN9" si="157">IF(WEEKDAY(FN10)=5,IF(ISERROR(_xlfn.ISOWEEKNUM(FN10)),WEEKNUM(FN10,2),_xlfn.ISOWEEKNUM(FN10)),"")</f>
        <v/>
      </c>
      <c r="FO9" s="44">
        <f t="shared" ref="FO9" si="158">IF(WEEKDAY(FO10)=5,IF(ISERROR(_xlfn.ISOWEEKNUM(FO10)),WEEKNUM(FO10,2),_xlfn.ISOWEEKNUM(FO10)),"")</f>
        <v>8</v>
      </c>
      <c r="FP9" s="44" t="str">
        <f t="shared" ref="FP9" si="159">IF(WEEKDAY(FP10)=5,IF(ISERROR(_xlfn.ISOWEEKNUM(FP10)),WEEKNUM(FP10,2),_xlfn.ISOWEEKNUM(FP10)),"")</f>
        <v/>
      </c>
      <c r="FQ9" s="44" t="str">
        <f t="shared" ref="FQ9" si="160">IF(WEEKDAY(FQ10)=5,IF(ISERROR(_xlfn.ISOWEEKNUM(FQ10)),WEEKNUM(FQ10,2),_xlfn.ISOWEEKNUM(FQ10)),"")</f>
        <v/>
      </c>
      <c r="FR9" s="44" t="str">
        <f t="shared" ref="FR9" si="161">IF(WEEKDAY(FR10)=5,IF(ISERROR(_xlfn.ISOWEEKNUM(FR10)),WEEKNUM(FR10,2),_xlfn.ISOWEEKNUM(FR10)),"")</f>
        <v/>
      </c>
      <c r="FS9" s="44" t="str">
        <f t="shared" ref="FS9" si="162">IF(WEEKDAY(FS10)=5,IF(ISERROR(_xlfn.ISOWEEKNUM(FS10)),WEEKNUM(FS10,2),_xlfn.ISOWEEKNUM(FS10)),"")</f>
        <v/>
      </c>
      <c r="FT9" s="44" t="str">
        <f t="shared" ref="FT9" si="163">IF(WEEKDAY(FT10)=5,IF(ISERROR(_xlfn.ISOWEEKNUM(FT10)),WEEKNUM(FT10,2),_xlfn.ISOWEEKNUM(FT10)),"")</f>
        <v/>
      </c>
      <c r="FU9" s="44" t="str">
        <f t="shared" ref="FU9" si="164">IF(WEEKDAY(FU10)=5,IF(ISERROR(_xlfn.ISOWEEKNUM(FU10)),WEEKNUM(FU10,2),_xlfn.ISOWEEKNUM(FU10)),"")</f>
        <v/>
      </c>
      <c r="FV9" s="44">
        <f t="shared" ref="FV9" si="165">IF(WEEKDAY(FV10)=5,IF(ISERROR(_xlfn.ISOWEEKNUM(FV10)),WEEKNUM(FV10,2),_xlfn.ISOWEEKNUM(FV10)),"")</f>
        <v>9</v>
      </c>
      <c r="FW9" s="44" t="str">
        <f t="shared" ref="FW9" si="166">IF(WEEKDAY(FW10)=5,IF(ISERROR(_xlfn.ISOWEEKNUM(FW10)),WEEKNUM(FW10,2),_xlfn.ISOWEEKNUM(FW10)),"")</f>
        <v/>
      </c>
      <c r="FX9" s="44" t="str">
        <f t="shared" ref="FX9" si="167">IF(WEEKDAY(FX10)=5,IF(ISERROR(_xlfn.ISOWEEKNUM(FX10)),WEEKNUM(FX10,2),_xlfn.ISOWEEKNUM(FX10)),"")</f>
        <v/>
      </c>
      <c r="FY9" s="44" t="str">
        <f t="shared" ref="FY9" si="168">IF(WEEKDAY(FY10)=5,IF(ISERROR(_xlfn.ISOWEEKNUM(FY10)),WEEKNUM(FY10,2),_xlfn.ISOWEEKNUM(FY10)),"")</f>
        <v/>
      </c>
      <c r="FZ9" s="44" t="str">
        <f t="shared" ref="FZ9" si="169">IF(WEEKDAY(FZ10)=5,IF(ISERROR(_xlfn.ISOWEEKNUM(FZ10)),WEEKNUM(FZ10,2),_xlfn.ISOWEEKNUM(FZ10)),"")</f>
        <v/>
      </c>
      <c r="GA9" s="44" t="str">
        <f t="shared" ref="GA9" si="170">IF(WEEKDAY(GA10)=5,IF(ISERROR(_xlfn.ISOWEEKNUM(GA10)),WEEKNUM(GA10,2),_xlfn.ISOWEEKNUM(GA10)),"")</f>
        <v/>
      </c>
      <c r="GB9" s="44" t="str">
        <f t="shared" ref="GB9" si="171">IF(WEEKDAY(GB10)=5,IF(ISERROR(_xlfn.ISOWEEKNUM(GB10)),WEEKNUM(GB10,2),_xlfn.ISOWEEKNUM(GB10)),"")</f>
        <v/>
      </c>
      <c r="GC9" s="44">
        <f t="shared" ref="GC9" si="172">IF(WEEKDAY(GC10)=5,IF(ISERROR(_xlfn.ISOWEEKNUM(GC10)),WEEKNUM(GC10,2),_xlfn.ISOWEEKNUM(GC10)),"")</f>
        <v>10</v>
      </c>
      <c r="GD9" s="44" t="str">
        <f t="shared" ref="GD9" si="173">IF(WEEKDAY(GD10)=5,IF(ISERROR(_xlfn.ISOWEEKNUM(GD10)),WEEKNUM(GD10,2),_xlfn.ISOWEEKNUM(GD10)),"")</f>
        <v/>
      </c>
      <c r="GE9" s="44" t="str">
        <f t="shared" ref="GE9" si="174">IF(WEEKDAY(GE10)=5,IF(ISERROR(_xlfn.ISOWEEKNUM(GE10)),WEEKNUM(GE10,2),_xlfn.ISOWEEKNUM(GE10)),"")</f>
        <v/>
      </c>
      <c r="GF9" s="44" t="str">
        <f t="shared" ref="GF9" si="175">IF(WEEKDAY(GF10)=5,IF(ISERROR(_xlfn.ISOWEEKNUM(GF10)),WEEKNUM(GF10,2),_xlfn.ISOWEEKNUM(GF10)),"")</f>
        <v/>
      </c>
      <c r="GG9" s="44" t="str">
        <f t="shared" ref="GG9" si="176">IF(WEEKDAY(GG10)=5,IF(ISERROR(_xlfn.ISOWEEKNUM(GG10)),WEEKNUM(GG10,2),_xlfn.ISOWEEKNUM(GG10)),"")</f>
        <v/>
      </c>
      <c r="GH9" s="44" t="str">
        <f t="shared" ref="GH9" si="177">IF(WEEKDAY(GH10)=5,IF(ISERROR(_xlfn.ISOWEEKNUM(GH10)),WEEKNUM(GH10,2),_xlfn.ISOWEEKNUM(GH10)),"")</f>
        <v/>
      </c>
      <c r="GI9" s="44" t="str">
        <f t="shared" ref="GI9" si="178">IF(WEEKDAY(GI10)=5,IF(ISERROR(_xlfn.ISOWEEKNUM(GI10)),WEEKNUM(GI10,2),_xlfn.ISOWEEKNUM(GI10)),"")</f>
        <v/>
      </c>
      <c r="GJ9" s="44">
        <f t="shared" ref="GJ9" si="179">IF(WEEKDAY(GJ10)=5,IF(ISERROR(_xlfn.ISOWEEKNUM(GJ10)),WEEKNUM(GJ10,2),_xlfn.ISOWEEKNUM(GJ10)),"")</f>
        <v>11</v>
      </c>
      <c r="GK9" s="44" t="str">
        <f t="shared" ref="GK9" si="180">IF(WEEKDAY(GK10)=5,IF(ISERROR(_xlfn.ISOWEEKNUM(GK10)),WEEKNUM(GK10,2),_xlfn.ISOWEEKNUM(GK10)),"")</f>
        <v/>
      </c>
      <c r="GL9" s="44" t="str">
        <f t="shared" ref="GL9" si="181">IF(WEEKDAY(GL10)=5,IF(ISERROR(_xlfn.ISOWEEKNUM(GL10)),WEEKNUM(GL10,2),_xlfn.ISOWEEKNUM(GL10)),"")</f>
        <v/>
      </c>
      <c r="GM9" s="44" t="str">
        <f t="shared" ref="GM9" si="182">IF(WEEKDAY(GM10)=5,IF(ISERROR(_xlfn.ISOWEEKNUM(GM10)),WEEKNUM(GM10,2),_xlfn.ISOWEEKNUM(GM10)),"")</f>
        <v/>
      </c>
      <c r="GN9" s="44" t="str">
        <f t="shared" ref="GN9" si="183">IF(WEEKDAY(GN10)=5,IF(ISERROR(_xlfn.ISOWEEKNUM(GN10)),WEEKNUM(GN10,2),_xlfn.ISOWEEKNUM(GN10)),"")</f>
        <v/>
      </c>
      <c r="GO9" s="44" t="str">
        <f t="shared" ref="GO9" si="184">IF(WEEKDAY(GO10)=5,IF(ISERROR(_xlfn.ISOWEEKNUM(GO10)),WEEKNUM(GO10,2),_xlfn.ISOWEEKNUM(GO10)),"")</f>
        <v/>
      </c>
      <c r="GP9" s="44" t="str">
        <f t="shared" ref="GP9" si="185">IF(WEEKDAY(GP10)=5,IF(ISERROR(_xlfn.ISOWEEKNUM(GP10)),WEEKNUM(GP10,2),_xlfn.ISOWEEKNUM(GP10)),"")</f>
        <v/>
      </c>
      <c r="GQ9" s="44">
        <f t="shared" ref="GQ9" si="186">IF(WEEKDAY(GQ10)=5,IF(ISERROR(_xlfn.ISOWEEKNUM(GQ10)),WEEKNUM(GQ10,2),_xlfn.ISOWEEKNUM(GQ10)),"")</f>
        <v>12</v>
      </c>
      <c r="GR9" s="44" t="str">
        <f t="shared" ref="GR9" si="187">IF(WEEKDAY(GR10)=5,IF(ISERROR(_xlfn.ISOWEEKNUM(GR10)),WEEKNUM(GR10,2),_xlfn.ISOWEEKNUM(GR10)),"")</f>
        <v/>
      </c>
      <c r="GS9" s="44" t="str">
        <f t="shared" ref="GS9" si="188">IF(WEEKDAY(GS10)=5,IF(ISERROR(_xlfn.ISOWEEKNUM(GS10)),WEEKNUM(GS10,2),_xlfn.ISOWEEKNUM(GS10)),"")</f>
        <v/>
      </c>
      <c r="GT9" s="44" t="str">
        <f t="shared" ref="GT9" si="189">IF(WEEKDAY(GT10)=5,IF(ISERROR(_xlfn.ISOWEEKNUM(GT10)),WEEKNUM(GT10,2),_xlfn.ISOWEEKNUM(GT10)),"")</f>
        <v/>
      </c>
      <c r="GU9" s="44" t="str">
        <f t="shared" ref="GU9" si="190">IF(WEEKDAY(GU10)=5,IF(ISERROR(_xlfn.ISOWEEKNUM(GU10)),WEEKNUM(GU10,2),_xlfn.ISOWEEKNUM(GU10)),"")</f>
        <v/>
      </c>
      <c r="GV9" s="44" t="str">
        <f t="shared" ref="GV9" si="191">IF(WEEKDAY(GV10)=5,IF(ISERROR(_xlfn.ISOWEEKNUM(GV10)),WEEKNUM(GV10,2),_xlfn.ISOWEEKNUM(GV10)),"")</f>
        <v/>
      </c>
      <c r="GW9" s="44" t="str">
        <f t="shared" ref="GW9" si="192">IF(WEEKDAY(GW10)=5,IF(ISERROR(_xlfn.ISOWEEKNUM(GW10)),WEEKNUM(GW10,2),_xlfn.ISOWEEKNUM(GW10)),"")</f>
        <v/>
      </c>
      <c r="GX9" s="44">
        <f t="shared" ref="GX9" si="193">IF(WEEKDAY(GX10)=5,IF(ISERROR(_xlfn.ISOWEEKNUM(GX10)),WEEKNUM(GX10,2),_xlfn.ISOWEEKNUM(GX10)),"")</f>
        <v>13</v>
      </c>
      <c r="GY9" s="44" t="str">
        <f t="shared" ref="GY9" si="194">IF(WEEKDAY(GY10)=5,IF(ISERROR(_xlfn.ISOWEEKNUM(GY10)),WEEKNUM(GY10,2),_xlfn.ISOWEEKNUM(GY10)),"")</f>
        <v/>
      </c>
      <c r="GZ9" s="44" t="str">
        <f t="shared" ref="GZ9" si="195">IF(WEEKDAY(GZ10)=5,IF(ISERROR(_xlfn.ISOWEEKNUM(GZ10)),WEEKNUM(GZ10,2),_xlfn.ISOWEEKNUM(GZ10)),"")</f>
        <v/>
      </c>
      <c r="HA9" s="44" t="str">
        <f t="shared" ref="HA9" si="196">IF(WEEKDAY(HA10)=5,IF(ISERROR(_xlfn.ISOWEEKNUM(HA10)),WEEKNUM(HA10,2),_xlfn.ISOWEEKNUM(HA10)),"")</f>
        <v/>
      </c>
      <c r="HB9" s="44" t="str">
        <f t="shared" ref="HB9" si="197">IF(WEEKDAY(HB10)=5,IF(ISERROR(_xlfn.ISOWEEKNUM(HB10)),WEEKNUM(HB10,2),_xlfn.ISOWEEKNUM(HB10)),"")</f>
        <v/>
      </c>
      <c r="HC9" s="44" t="str">
        <f t="shared" ref="HC9" si="198">IF(WEEKDAY(HC10)=5,IF(ISERROR(_xlfn.ISOWEEKNUM(HC10)),WEEKNUM(HC10,2),_xlfn.ISOWEEKNUM(HC10)),"")</f>
        <v/>
      </c>
      <c r="HD9" s="44" t="str">
        <f t="shared" ref="HD9" si="199">IF(WEEKDAY(HD10)=5,IF(ISERROR(_xlfn.ISOWEEKNUM(HD10)),WEEKNUM(HD10,2),_xlfn.ISOWEEKNUM(HD10)),"")</f>
        <v/>
      </c>
      <c r="HE9" s="44">
        <f t="shared" ref="HE9" si="200">IF(WEEKDAY(HE10)=5,IF(ISERROR(_xlfn.ISOWEEKNUM(HE10)),WEEKNUM(HE10,2),_xlfn.ISOWEEKNUM(HE10)),"")</f>
        <v>14</v>
      </c>
      <c r="HF9" s="44" t="str">
        <f t="shared" ref="HF9" si="201">IF(WEEKDAY(HF10)=5,IF(ISERROR(_xlfn.ISOWEEKNUM(HF10)),WEEKNUM(HF10,2),_xlfn.ISOWEEKNUM(HF10)),"")</f>
        <v/>
      </c>
      <c r="HG9" s="44" t="str">
        <f t="shared" ref="HG9" si="202">IF(WEEKDAY(HG10)=5,IF(ISERROR(_xlfn.ISOWEEKNUM(HG10)),WEEKNUM(HG10,2),_xlfn.ISOWEEKNUM(HG10)),"")</f>
        <v/>
      </c>
      <c r="HH9" s="44" t="str">
        <f t="shared" ref="HH9" si="203">IF(WEEKDAY(HH10)=5,IF(ISERROR(_xlfn.ISOWEEKNUM(HH10)),WEEKNUM(HH10,2),_xlfn.ISOWEEKNUM(HH10)),"")</f>
        <v/>
      </c>
      <c r="HI9" s="44" t="str">
        <f t="shared" ref="HI9" si="204">IF(WEEKDAY(HI10)=5,IF(ISERROR(_xlfn.ISOWEEKNUM(HI10)),WEEKNUM(HI10,2),_xlfn.ISOWEEKNUM(HI10)),"")</f>
        <v/>
      </c>
      <c r="HJ9" s="44" t="str">
        <f t="shared" ref="HJ9" si="205">IF(WEEKDAY(HJ10)=5,IF(ISERROR(_xlfn.ISOWEEKNUM(HJ10)),WEEKNUM(HJ10,2),_xlfn.ISOWEEKNUM(HJ10)),"")</f>
        <v/>
      </c>
      <c r="HK9" s="44" t="str">
        <f t="shared" ref="HK9" si="206">IF(WEEKDAY(HK10)=5,IF(ISERROR(_xlfn.ISOWEEKNUM(HK10)),WEEKNUM(HK10,2),_xlfn.ISOWEEKNUM(HK10)),"")</f>
        <v/>
      </c>
      <c r="HL9" s="44">
        <f t="shared" ref="HL9" si="207">IF(WEEKDAY(HL10)=5,IF(ISERROR(_xlfn.ISOWEEKNUM(HL10)),WEEKNUM(HL10,2),_xlfn.ISOWEEKNUM(HL10)),"")</f>
        <v>15</v>
      </c>
      <c r="HM9" s="44" t="str">
        <f t="shared" ref="HM9" si="208">IF(WEEKDAY(HM10)=5,IF(ISERROR(_xlfn.ISOWEEKNUM(HM10)),WEEKNUM(HM10,2),_xlfn.ISOWEEKNUM(HM10)),"")</f>
        <v/>
      </c>
      <c r="HN9" s="44" t="str">
        <f t="shared" ref="HN9" si="209">IF(WEEKDAY(HN10)=5,IF(ISERROR(_xlfn.ISOWEEKNUM(HN10)),WEEKNUM(HN10,2),_xlfn.ISOWEEKNUM(HN10)),"")</f>
        <v/>
      </c>
      <c r="HO9" s="44" t="str">
        <f t="shared" ref="HO9" si="210">IF(WEEKDAY(HO10)=5,IF(ISERROR(_xlfn.ISOWEEKNUM(HO10)),WEEKNUM(HO10,2),_xlfn.ISOWEEKNUM(HO10)),"")</f>
        <v/>
      </c>
      <c r="HP9" s="44" t="str">
        <f t="shared" ref="HP9" si="211">IF(WEEKDAY(HP10)=5,IF(ISERROR(_xlfn.ISOWEEKNUM(HP10)),WEEKNUM(HP10,2),_xlfn.ISOWEEKNUM(HP10)),"")</f>
        <v/>
      </c>
      <c r="HQ9" s="44" t="str">
        <f t="shared" ref="HQ9" si="212">IF(WEEKDAY(HQ10)=5,IF(ISERROR(_xlfn.ISOWEEKNUM(HQ10)),WEEKNUM(HQ10,2),_xlfn.ISOWEEKNUM(HQ10)),"")</f>
        <v/>
      </c>
      <c r="HR9" s="44" t="str">
        <f t="shared" ref="HR9" si="213">IF(WEEKDAY(HR10)=5,IF(ISERROR(_xlfn.ISOWEEKNUM(HR10)),WEEKNUM(HR10,2),_xlfn.ISOWEEKNUM(HR10)),"")</f>
        <v/>
      </c>
      <c r="HS9" s="44">
        <f t="shared" ref="HS9" si="214">IF(WEEKDAY(HS10)=5,IF(ISERROR(_xlfn.ISOWEEKNUM(HS10)),WEEKNUM(HS10,2),_xlfn.ISOWEEKNUM(HS10)),"")</f>
        <v>16</v>
      </c>
      <c r="HT9" s="44" t="str">
        <f t="shared" ref="HT9" si="215">IF(WEEKDAY(HT10)=5,IF(ISERROR(_xlfn.ISOWEEKNUM(HT10)),WEEKNUM(HT10,2),_xlfn.ISOWEEKNUM(HT10)),"")</f>
        <v/>
      </c>
      <c r="HU9" s="44" t="str">
        <f t="shared" ref="HU9" si="216">IF(WEEKDAY(HU10)=5,IF(ISERROR(_xlfn.ISOWEEKNUM(HU10)),WEEKNUM(HU10,2),_xlfn.ISOWEEKNUM(HU10)),"")</f>
        <v/>
      </c>
      <c r="HV9" s="44" t="str">
        <f t="shared" ref="HV9" si="217">IF(WEEKDAY(HV10)=5,IF(ISERROR(_xlfn.ISOWEEKNUM(HV10)),WEEKNUM(HV10,2),_xlfn.ISOWEEKNUM(HV10)),"")</f>
        <v/>
      </c>
      <c r="HW9" s="44" t="str">
        <f t="shared" ref="HW9" si="218">IF(WEEKDAY(HW10)=5,IF(ISERROR(_xlfn.ISOWEEKNUM(HW10)),WEEKNUM(HW10,2),_xlfn.ISOWEEKNUM(HW10)),"")</f>
        <v/>
      </c>
      <c r="HX9" s="44" t="str">
        <f t="shared" ref="HX9" si="219">IF(WEEKDAY(HX10)=5,IF(ISERROR(_xlfn.ISOWEEKNUM(HX10)),WEEKNUM(HX10,2),_xlfn.ISOWEEKNUM(HX10)),"")</f>
        <v/>
      </c>
      <c r="HY9" s="44" t="str">
        <f t="shared" ref="HY9" si="220">IF(WEEKDAY(HY10)=5,IF(ISERROR(_xlfn.ISOWEEKNUM(HY10)),WEEKNUM(HY10,2),_xlfn.ISOWEEKNUM(HY10)),"")</f>
        <v/>
      </c>
      <c r="HZ9" s="44">
        <f t="shared" ref="HZ9" si="221">IF(WEEKDAY(HZ10)=5,IF(ISERROR(_xlfn.ISOWEEKNUM(HZ10)),WEEKNUM(HZ10,2),_xlfn.ISOWEEKNUM(HZ10)),"")</f>
        <v>17</v>
      </c>
      <c r="IA9" s="44" t="str">
        <f t="shared" ref="IA9" si="222">IF(WEEKDAY(IA10)=5,IF(ISERROR(_xlfn.ISOWEEKNUM(IA10)),WEEKNUM(IA10,2),_xlfn.ISOWEEKNUM(IA10)),"")</f>
        <v/>
      </c>
      <c r="IB9" s="44" t="str">
        <f t="shared" ref="IB9" si="223">IF(WEEKDAY(IB10)=5,IF(ISERROR(_xlfn.ISOWEEKNUM(IB10)),WEEKNUM(IB10,2),_xlfn.ISOWEEKNUM(IB10)),"")</f>
        <v/>
      </c>
      <c r="IC9" s="44" t="str">
        <f t="shared" ref="IC9" si="224">IF(WEEKDAY(IC10)=5,IF(ISERROR(_xlfn.ISOWEEKNUM(IC10)),WEEKNUM(IC10,2),_xlfn.ISOWEEKNUM(IC10)),"")</f>
        <v/>
      </c>
      <c r="ID9" s="44" t="str">
        <f t="shared" ref="ID9" si="225">IF(WEEKDAY(ID10)=5,IF(ISERROR(_xlfn.ISOWEEKNUM(ID10)),WEEKNUM(ID10,2),_xlfn.ISOWEEKNUM(ID10)),"")</f>
        <v/>
      </c>
      <c r="IE9" s="44" t="str">
        <f t="shared" ref="IE9" si="226">IF(WEEKDAY(IE10)=5,IF(ISERROR(_xlfn.ISOWEEKNUM(IE10)),WEEKNUM(IE10,2),_xlfn.ISOWEEKNUM(IE10)),"")</f>
        <v/>
      </c>
      <c r="IF9" s="44" t="str">
        <f t="shared" ref="IF9" si="227">IF(WEEKDAY(IF10)=5,IF(ISERROR(_xlfn.ISOWEEKNUM(IF10)),WEEKNUM(IF10,2),_xlfn.ISOWEEKNUM(IF10)),"")</f>
        <v/>
      </c>
      <c r="IG9" s="44">
        <f t="shared" ref="IG9" si="228">IF(WEEKDAY(IG10)=5,IF(ISERROR(_xlfn.ISOWEEKNUM(IG10)),WEEKNUM(IG10,2),_xlfn.ISOWEEKNUM(IG10)),"")</f>
        <v>18</v>
      </c>
      <c r="IH9" s="44" t="str">
        <f t="shared" ref="IH9" si="229">IF(WEEKDAY(IH10)=5,IF(ISERROR(_xlfn.ISOWEEKNUM(IH10)),WEEKNUM(IH10,2),_xlfn.ISOWEEKNUM(IH10)),"")</f>
        <v/>
      </c>
      <c r="II9" s="44" t="str">
        <f t="shared" ref="II9" si="230">IF(WEEKDAY(II10)=5,IF(ISERROR(_xlfn.ISOWEEKNUM(II10)),WEEKNUM(II10,2),_xlfn.ISOWEEKNUM(II10)),"")</f>
        <v/>
      </c>
      <c r="IJ9" s="44" t="str">
        <f t="shared" ref="IJ9" si="231">IF(WEEKDAY(IJ10)=5,IF(ISERROR(_xlfn.ISOWEEKNUM(IJ10)),WEEKNUM(IJ10,2),_xlfn.ISOWEEKNUM(IJ10)),"")</f>
        <v/>
      </c>
      <c r="IK9" s="44" t="str">
        <f t="shared" ref="IK9" si="232">IF(WEEKDAY(IK10)=5,IF(ISERROR(_xlfn.ISOWEEKNUM(IK10)),WEEKNUM(IK10,2),_xlfn.ISOWEEKNUM(IK10)),"")</f>
        <v/>
      </c>
      <c r="IL9" s="44" t="str">
        <f t="shared" ref="IL9" si="233">IF(WEEKDAY(IL10)=5,IF(ISERROR(_xlfn.ISOWEEKNUM(IL10)),WEEKNUM(IL10,2),_xlfn.ISOWEEKNUM(IL10)),"")</f>
        <v/>
      </c>
      <c r="IM9" s="44" t="str">
        <f t="shared" ref="IM9" si="234">IF(WEEKDAY(IM10)=5,IF(ISERROR(_xlfn.ISOWEEKNUM(IM10)),WEEKNUM(IM10,2),_xlfn.ISOWEEKNUM(IM10)),"")</f>
        <v/>
      </c>
      <c r="IN9" s="44">
        <f t="shared" ref="IN9" si="235">IF(WEEKDAY(IN10)=5,IF(ISERROR(_xlfn.ISOWEEKNUM(IN10)),WEEKNUM(IN10,2),_xlfn.ISOWEEKNUM(IN10)),"")</f>
        <v>19</v>
      </c>
      <c r="IO9" s="44" t="str">
        <f t="shared" ref="IO9" si="236">IF(WEEKDAY(IO10)=5,IF(ISERROR(_xlfn.ISOWEEKNUM(IO10)),WEEKNUM(IO10,2),_xlfn.ISOWEEKNUM(IO10)),"")</f>
        <v/>
      </c>
      <c r="IP9" s="44" t="str">
        <f t="shared" ref="IP9" si="237">IF(WEEKDAY(IP10)=5,IF(ISERROR(_xlfn.ISOWEEKNUM(IP10)),WEEKNUM(IP10,2),_xlfn.ISOWEEKNUM(IP10)),"")</f>
        <v/>
      </c>
      <c r="IQ9" s="44" t="str">
        <f t="shared" ref="IQ9" si="238">IF(WEEKDAY(IQ10)=5,IF(ISERROR(_xlfn.ISOWEEKNUM(IQ10)),WEEKNUM(IQ10,2),_xlfn.ISOWEEKNUM(IQ10)),"")</f>
        <v/>
      </c>
      <c r="IR9" s="44" t="str">
        <f t="shared" ref="IR9" si="239">IF(WEEKDAY(IR10)=5,IF(ISERROR(_xlfn.ISOWEEKNUM(IR10)),WEEKNUM(IR10,2),_xlfn.ISOWEEKNUM(IR10)),"")</f>
        <v/>
      </c>
      <c r="IS9" s="44" t="str">
        <f t="shared" ref="IS9" si="240">IF(WEEKDAY(IS10)=5,IF(ISERROR(_xlfn.ISOWEEKNUM(IS10)),WEEKNUM(IS10,2),_xlfn.ISOWEEKNUM(IS10)),"")</f>
        <v/>
      </c>
      <c r="IT9" s="44" t="str">
        <f t="shared" ref="IT9" si="241">IF(WEEKDAY(IT10)=5,IF(ISERROR(_xlfn.ISOWEEKNUM(IT10)),WEEKNUM(IT10,2),_xlfn.ISOWEEKNUM(IT10)),"")</f>
        <v/>
      </c>
      <c r="IU9" s="44">
        <f t="shared" ref="IU9" si="242">IF(WEEKDAY(IU10)=5,IF(ISERROR(_xlfn.ISOWEEKNUM(IU10)),WEEKNUM(IU10,2),_xlfn.ISOWEEKNUM(IU10)),"")</f>
        <v>20</v>
      </c>
      <c r="IV9" s="44" t="str">
        <f t="shared" ref="IV9" si="243">IF(WEEKDAY(IV10)=5,IF(ISERROR(_xlfn.ISOWEEKNUM(IV10)),WEEKNUM(IV10,2),_xlfn.ISOWEEKNUM(IV10)),"")</f>
        <v/>
      </c>
      <c r="IW9" s="44" t="str">
        <f t="shared" ref="IW9" si="244">IF(WEEKDAY(IW10)=5,IF(ISERROR(_xlfn.ISOWEEKNUM(IW10)),WEEKNUM(IW10,2),_xlfn.ISOWEEKNUM(IW10)),"")</f>
        <v/>
      </c>
      <c r="IX9" s="44" t="str">
        <f t="shared" ref="IX9" si="245">IF(WEEKDAY(IX10)=5,IF(ISERROR(_xlfn.ISOWEEKNUM(IX10)),WEEKNUM(IX10,2),_xlfn.ISOWEEKNUM(IX10)),"")</f>
        <v/>
      </c>
      <c r="IY9" s="44" t="str">
        <f t="shared" ref="IY9" si="246">IF(WEEKDAY(IY10)=5,IF(ISERROR(_xlfn.ISOWEEKNUM(IY10)),WEEKNUM(IY10,2),_xlfn.ISOWEEKNUM(IY10)),"")</f>
        <v/>
      </c>
      <c r="IZ9" s="44" t="str">
        <f t="shared" ref="IZ9" si="247">IF(WEEKDAY(IZ10)=5,IF(ISERROR(_xlfn.ISOWEEKNUM(IZ10)),WEEKNUM(IZ10,2),_xlfn.ISOWEEKNUM(IZ10)),"")</f>
        <v/>
      </c>
      <c r="JA9" s="44" t="str">
        <f t="shared" ref="JA9" si="248">IF(WEEKDAY(JA10)=5,IF(ISERROR(_xlfn.ISOWEEKNUM(JA10)),WEEKNUM(JA10,2),_xlfn.ISOWEEKNUM(JA10)),"")</f>
        <v/>
      </c>
      <c r="JB9" s="44">
        <f t="shared" ref="JB9" si="249">IF(WEEKDAY(JB10)=5,IF(ISERROR(_xlfn.ISOWEEKNUM(JB10)),WEEKNUM(JB10,2),_xlfn.ISOWEEKNUM(JB10)),"")</f>
        <v>21</v>
      </c>
      <c r="JC9" s="44" t="str">
        <f t="shared" ref="JC9" si="250">IF(WEEKDAY(JC10)=5,IF(ISERROR(_xlfn.ISOWEEKNUM(JC10)),WEEKNUM(JC10,2),_xlfn.ISOWEEKNUM(JC10)),"")</f>
        <v/>
      </c>
      <c r="JD9" s="44" t="str">
        <f t="shared" ref="JD9" si="251">IF(WEEKDAY(JD10)=5,IF(ISERROR(_xlfn.ISOWEEKNUM(JD10)),WEEKNUM(JD10,2),_xlfn.ISOWEEKNUM(JD10)),"")</f>
        <v/>
      </c>
      <c r="JE9" s="44" t="str">
        <f t="shared" ref="JE9" si="252">IF(WEEKDAY(JE10)=5,IF(ISERROR(_xlfn.ISOWEEKNUM(JE10)),WEEKNUM(JE10,2),_xlfn.ISOWEEKNUM(JE10)),"")</f>
        <v/>
      </c>
      <c r="JF9" s="44" t="str">
        <f t="shared" ref="JF9" si="253">IF(WEEKDAY(JF10)=5,IF(ISERROR(_xlfn.ISOWEEKNUM(JF10)),WEEKNUM(JF10,2),_xlfn.ISOWEEKNUM(JF10)),"")</f>
        <v/>
      </c>
      <c r="JG9" s="44" t="str">
        <f t="shared" ref="JG9" si="254">IF(WEEKDAY(JG10)=5,IF(ISERROR(_xlfn.ISOWEEKNUM(JG10)),WEEKNUM(JG10,2),_xlfn.ISOWEEKNUM(JG10)),"")</f>
        <v/>
      </c>
      <c r="JH9" s="44" t="str">
        <f t="shared" ref="JH9" si="255">IF(WEEKDAY(JH10)=5,IF(ISERROR(_xlfn.ISOWEEKNUM(JH10)),WEEKNUM(JH10,2),_xlfn.ISOWEEKNUM(JH10)),"")</f>
        <v/>
      </c>
      <c r="JI9" s="44">
        <f t="shared" ref="JI9" si="256">IF(WEEKDAY(JI10)=5,IF(ISERROR(_xlfn.ISOWEEKNUM(JI10)),WEEKNUM(JI10,2),_xlfn.ISOWEEKNUM(JI10)),"")</f>
        <v>22</v>
      </c>
      <c r="JJ9" s="44" t="str">
        <f t="shared" ref="JJ9" si="257">IF(WEEKDAY(JJ10)=5,IF(ISERROR(_xlfn.ISOWEEKNUM(JJ10)),WEEKNUM(JJ10,2),_xlfn.ISOWEEKNUM(JJ10)),"")</f>
        <v/>
      </c>
      <c r="JK9" s="44" t="str">
        <f t="shared" ref="JK9" si="258">IF(WEEKDAY(JK10)=5,IF(ISERROR(_xlfn.ISOWEEKNUM(JK10)),WEEKNUM(JK10,2),_xlfn.ISOWEEKNUM(JK10)),"")</f>
        <v/>
      </c>
      <c r="JL9" s="44" t="str">
        <f t="shared" ref="JL9" si="259">IF(WEEKDAY(JL10)=5,IF(ISERROR(_xlfn.ISOWEEKNUM(JL10)),WEEKNUM(JL10,2),_xlfn.ISOWEEKNUM(JL10)),"")</f>
        <v/>
      </c>
      <c r="JM9" s="44" t="str">
        <f t="shared" ref="JM9" si="260">IF(WEEKDAY(JM10)=5,IF(ISERROR(_xlfn.ISOWEEKNUM(JM10)),WEEKNUM(JM10,2),_xlfn.ISOWEEKNUM(JM10)),"")</f>
        <v/>
      </c>
      <c r="JN9" s="44" t="str">
        <f t="shared" ref="JN9" si="261">IF(WEEKDAY(JN10)=5,IF(ISERROR(_xlfn.ISOWEEKNUM(JN10)),WEEKNUM(JN10,2),_xlfn.ISOWEEKNUM(JN10)),"")</f>
        <v/>
      </c>
      <c r="JO9" s="44" t="str">
        <f t="shared" ref="JO9" si="262">IF(WEEKDAY(JO10)=5,IF(ISERROR(_xlfn.ISOWEEKNUM(JO10)),WEEKNUM(JO10,2),_xlfn.ISOWEEKNUM(JO10)),"")</f>
        <v/>
      </c>
      <c r="JP9" s="44">
        <f t="shared" ref="JP9" si="263">IF(WEEKDAY(JP10)=5,IF(ISERROR(_xlfn.ISOWEEKNUM(JP10)),WEEKNUM(JP10,2),_xlfn.ISOWEEKNUM(JP10)),"")</f>
        <v>23</v>
      </c>
      <c r="JQ9" s="44" t="str">
        <f t="shared" ref="JQ9" si="264">IF(WEEKDAY(JQ10)=5,IF(ISERROR(_xlfn.ISOWEEKNUM(JQ10)),WEEKNUM(JQ10,2),_xlfn.ISOWEEKNUM(JQ10)),"")</f>
        <v/>
      </c>
      <c r="JR9" s="44" t="str">
        <f t="shared" ref="JR9" si="265">IF(WEEKDAY(JR10)=5,IF(ISERROR(_xlfn.ISOWEEKNUM(JR10)),WEEKNUM(JR10,2),_xlfn.ISOWEEKNUM(JR10)),"")</f>
        <v/>
      </c>
      <c r="JS9" s="44" t="str">
        <f t="shared" ref="JS9" si="266">IF(WEEKDAY(JS10)=5,IF(ISERROR(_xlfn.ISOWEEKNUM(JS10)),WEEKNUM(JS10,2),_xlfn.ISOWEEKNUM(JS10)),"")</f>
        <v/>
      </c>
      <c r="JT9" s="44" t="str">
        <f t="shared" ref="JT9" si="267">IF(WEEKDAY(JT10)=5,IF(ISERROR(_xlfn.ISOWEEKNUM(JT10)),WEEKNUM(JT10,2),_xlfn.ISOWEEKNUM(JT10)),"")</f>
        <v/>
      </c>
      <c r="JU9" s="44" t="str">
        <f t="shared" ref="JU9" si="268">IF(WEEKDAY(JU10)=5,IF(ISERROR(_xlfn.ISOWEEKNUM(JU10)),WEEKNUM(JU10,2),_xlfn.ISOWEEKNUM(JU10)),"")</f>
        <v/>
      </c>
      <c r="JV9" s="44" t="str">
        <f t="shared" ref="JV9" si="269">IF(WEEKDAY(JV10)=5,IF(ISERROR(_xlfn.ISOWEEKNUM(JV10)),WEEKNUM(JV10,2),_xlfn.ISOWEEKNUM(JV10)),"")</f>
        <v/>
      </c>
      <c r="JW9" s="44">
        <f t="shared" ref="JW9" si="270">IF(WEEKDAY(JW10)=5,IF(ISERROR(_xlfn.ISOWEEKNUM(JW10)),WEEKNUM(JW10,2),_xlfn.ISOWEEKNUM(JW10)),"")</f>
        <v>24</v>
      </c>
      <c r="JX9" s="44" t="str">
        <f t="shared" ref="JX9" si="271">IF(WEEKDAY(JX10)=5,IF(ISERROR(_xlfn.ISOWEEKNUM(JX10)),WEEKNUM(JX10,2),_xlfn.ISOWEEKNUM(JX10)),"")</f>
        <v/>
      </c>
      <c r="JY9" s="44" t="str">
        <f t="shared" ref="JY9" si="272">IF(WEEKDAY(JY10)=5,IF(ISERROR(_xlfn.ISOWEEKNUM(JY10)),WEEKNUM(JY10,2),_xlfn.ISOWEEKNUM(JY10)),"")</f>
        <v/>
      </c>
      <c r="JZ9" s="44" t="str">
        <f t="shared" ref="JZ9" si="273">IF(WEEKDAY(JZ10)=5,IF(ISERROR(_xlfn.ISOWEEKNUM(JZ10)),WEEKNUM(JZ10,2),_xlfn.ISOWEEKNUM(JZ10)),"")</f>
        <v/>
      </c>
      <c r="KA9" s="44" t="str">
        <f t="shared" ref="KA9" si="274">IF(WEEKDAY(KA10)=5,IF(ISERROR(_xlfn.ISOWEEKNUM(KA10)),WEEKNUM(KA10,2),_xlfn.ISOWEEKNUM(KA10)),"")</f>
        <v/>
      </c>
      <c r="KB9" s="44" t="str">
        <f t="shared" ref="KB9" si="275">IF(WEEKDAY(KB10)=5,IF(ISERROR(_xlfn.ISOWEEKNUM(KB10)),WEEKNUM(KB10,2),_xlfn.ISOWEEKNUM(KB10)),"")</f>
        <v/>
      </c>
      <c r="KC9" s="44" t="str">
        <f t="shared" ref="KC9" si="276">IF(WEEKDAY(KC10)=5,IF(ISERROR(_xlfn.ISOWEEKNUM(KC10)),WEEKNUM(KC10,2),_xlfn.ISOWEEKNUM(KC10)),"")</f>
        <v/>
      </c>
      <c r="KD9" s="44">
        <f t="shared" ref="KD9" si="277">IF(WEEKDAY(KD10)=5,IF(ISERROR(_xlfn.ISOWEEKNUM(KD10)),WEEKNUM(KD10,2),_xlfn.ISOWEEKNUM(KD10)),"")</f>
        <v>25</v>
      </c>
      <c r="KE9" s="44" t="str">
        <f t="shared" ref="KE9" si="278">IF(WEEKDAY(KE10)=5,IF(ISERROR(_xlfn.ISOWEEKNUM(KE10)),WEEKNUM(KE10,2),_xlfn.ISOWEEKNUM(KE10)),"")</f>
        <v/>
      </c>
      <c r="KF9" s="44" t="str">
        <f t="shared" ref="KF9" si="279">IF(WEEKDAY(KF10)=5,IF(ISERROR(_xlfn.ISOWEEKNUM(KF10)),WEEKNUM(KF10,2),_xlfn.ISOWEEKNUM(KF10)),"")</f>
        <v/>
      </c>
      <c r="KG9" s="44" t="str">
        <f t="shared" ref="KG9" si="280">IF(WEEKDAY(KG10)=5,IF(ISERROR(_xlfn.ISOWEEKNUM(KG10)),WEEKNUM(KG10,2),_xlfn.ISOWEEKNUM(KG10)),"")</f>
        <v/>
      </c>
      <c r="KH9" s="44" t="str">
        <f t="shared" ref="KH9" si="281">IF(WEEKDAY(KH10)=5,IF(ISERROR(_xlfn.ISOWEEKNUM(KH10)),WEEKNUM(KH10,2),_xlfn.ISOWEEKNUM(KH10)),"")</f>
        <v/>
      </c>
      <c r="KI9" s="44" t="str">
        <f t="shared" ref="KI9" si="282">IF(WEEKDAY(KI10)=5,IF(ISERROR(_xlfn.ISOWEEKNUM(KI10)),WEEKNUM(KI10,2),_xlfn.ISOWEEKNUM(KI10)),"")</f>
        <v/>
      </c>
      <c r="KJ9" s="44" t="str">
        <f t="shared" ref="KJ9" si="283">IF(WEEKDAY(KJ10)=5,IF(ISERROR(_xlfn.ISOWEEKNUM(KJ10)),WEEKNUM(KJ10,2),_xlfn.ISOWEEKNUM(KJ10)),"")</f>
        <v/>
      </c>
      <c r="KK9" s="44">
        <f t="shared" ref="KK9" si="284">IF(WEEKDAY(KK10)=5,IF(ISERROR(_xlfn.ISOWEEKNUM(KK10)),WEEKNUM(KK10,2),_xlfn.ISOWEEKNUM(KK10)),"")</f>
        <v>26</v>
      </c>
      <c r="KL9" s="44" t="str">
        <f t="shared" ref="KL9" si="285">IF(WEEKDAY(KL10)=5,IF(ISERROR(_xlfn.ISOWEEKNUM(KL10)),WEEKNUM(KL10,2),_xlfn.ISOWEEKNUM(KL10)),"")</f>
        <v/>
      </c>
      <c r="KM9" s="44" t="str">
        <f t="shared" ref="KM9" si="286">IF(WEEKDAY(KM10)=5,IF(ISERROR(_xlfn.ISOWEEKNUM(KM10)),WEEKNUM(KM10,2),_xlfn.ISOWEEKNUM(KM10)),"")</f>
        <v/>
      </c>
      <c r="KN9" s="44" t="str">
        <f t="shared" ref="KN9" si="287">IF(WEEKDAY(KN10)=5,IF(ISERROR(_xlfn.ISOWEEKNUM(KN10)),WEEKNUM(KN10,2),_xlfn.ISOWEEKNUM(KN10)),"")</f>
        <v/>
      </c>
      <c r="KO9" s="44" t="str">
        <f t="shared" ref="KO9" si="288">IF(WEEKDAY(KO10)=5,IF(ISERROR(_xlfn.ISOWEEKNUM(KO10)),WEEKNUM(KO10,2),_xlfn.ISOWEEKNUM(KO10)),"")</f>
        <v/>
      </c>
      <c r="KP9" s="44" t="str">
        <f t="shared" ref="KP9" si="289">IF(WEEKDAY(KP10)=5,IF(ISERROR(_xlfn.ISOWEEKNUM(KP10)),WEEKNUM(KP10,2),_xlfn.ISOWEEKNUM(KP10)),"")</f>
        <v/>
      </c>
      <c r="KQ9" s="44" t="str">
        <f t="shared" ref="KQ9" si="290">IF(WEEKDAY(KQ10)=5,IF(ISERROR(_xlfn.ISOWEEKNUM(KQ10)),WEEKNUM(KQ10,2),_xlfn.ISOWEEKNUM(KQ10)),"")</f>
        <v/>
      </c>
      <c r="KR9" s="44">
        <f t="shared" ref="KR9" si="291">IF(WEEKDAY(KR10)=5,IF(ISERROR(_xlfn.ISOWEEKNUM(KR10)),WEEKNUM(KR10,2),_xlfn.ISOWEEKNUM(KR10)),"")</f>
        <v>27</v>
      </c>
      <c r="KS9" s="44" t="str">
        <f t="shared" ref="KS9" si="292">IF(WEEKDAY(KS10)=5,IF(ISERROR(_xlfn.ISOWEEKNUM(KS10)),WEEKNUM(KS10,2),_xlfn.ISOWEEKNUM(KS10)),"")</f>
        <v/>
      </c>
      <c r="KT9" s="44" t="str">
        <f t="shared" ref="KT9" si="293">IF(WEEKDAY(KT10)=5,IF(ISERROR(_xlfn.ISOWEEKNUM(KT10)),WEEKNUM(KT10,2),_xlfn.ISOWEEKNUM(KT10)),"")</f>
        <v/>
      </c>
      <c r="KU9" s="44" t="str">
        <f t="shared" ref="KU9" si="294">IF(WEEKDAY(KU10)=5,IF(ISERROR(_xlfn.ISOWEEKNUM(KU10)),WEEKNUM(KU10,2),_xlfn.ISOWEEKNUM(KU10)),"")</f>
        <v/>
      </c>
      <c r="KV9" s="44" t="str">
        <f t="shared" ref="KV9" si="295">IF(WEEKDAY(KV10)=5,IF(ISERROR(_xlfn.ISOWEEKNUM(KV10)),WEEKNUM(KV10,2),_xlfn.ISOWEEKNUM(KV10)),"")</f>
        <v/>
      </c>
      <c r="KW9" s="44" t="str">
        <f t="shared" ref="KW9" si="296">IF(WEEKDAY(KW10)=5,IF(ISERROR(_xlfn.ISOWEEKNUM(KW10)),WEEKNUM(KW10,2),_xlfn.ISOWEEKNUM(KW10)),"")</f>
        <v/>
      </c>
      <c r="KX9" s="44" t="str">
        <f t="shared" ref="KX9" si="297">IF(WEEKDAY(KX10)=5,IF(ISERROR(_xlfn.ISOWEEKNUM(KX10)),WEEKNUM(KX10,2),_xlfn.ISOWEEKNUM(KX10)),"")</f>
        <v/>
      </c>
      <c r="KY9" s="44">
        <f t="shared" ref="KY9" si="298">IF(WEEKDAY(KY10)=5,IF(ISERROR(_xlfn.ISOWEEKNUM(KY10)),WEEKNUM(KY10,2),_xlfn.ISOWEEKNUM(KY10)),"")</f>
        <v>28</v>
      </c>
      <c r="KZ9" s="44" t="str">
        <f t="shared" ref="KZ9" si="299">IF(WEEKDAY(KZ10)=5,IF(ISERROR(_xlfn.ISOWEEKNUM(KZ10)),WEEKNUM(KZ10,2),_xlfn.ISOWEEKNUM(KZ10)),"")</f>
        <v/>
      </c>
      <c r="LA9" s="44" t="str">
        <f t="shared" ref="LA9" si="300">IF(WEEKDAY(LA10)=5,IF(ISERROR(_xlfn.ISOWEEKNUM(LA10)),WEEKNUM(LA10,2),_xlfn.ISOWEEKNUM(LA10)),"")</f>
        <v/>
      </c>
      <c r="LB9" s="44" t="str">
        <f t="shared" ref="LB9" si="301">IF(WEEKDAY(LB10)=5,IF(ISERROR(_xlfn.ISOWEEKNUM(LB10)),WEEKNUM(LB10,2),_xlfn.ISOWEEKNUM(LB10)),"")</f>
        <v/>
      </c>
      <c r="LC9" s="44" t="str">
        <f t="shared" ref="LC9" si="302">IF(WEEKDAY(LC10)=5,IF(ISERROR(_xlfn.ISOWEEKNUM(LC10)),WEEKNUM(LC10,2),_xlfn.ISOWEEKNUM(LC10)),"")</f>
        <v/>
      </c>
      <c r="LD9" s="44" t="str">
        <f t="shared" ref="LD9" si="303">IF(WEEKDAY(LD10)=5,IF(ISERROR(_xlfn.ISOWEEKNUM(LD10)),WEEKNUM(LD10,2),_xlfn.ISOWEEKNUM(LD10)),"")</f>
        <v/>
      </c>
      <c r="LE9" s="44" t="str">
        <f t="shared" ref="LE9" si="304">IF(WEEKDAY(LE10)=5,IF(ISERROR(_xlfn.ISOWEEKNUM(LE10)),WEEKNUM(LE10,2),_xlfn.ISOWEEKNUM(LE10)),"")</f>
        <v/>
      </c>
      <c r="LF9" s="44">
        <f t="shared" ref="LF9" si="305">IF(WEEKDAY(LF10)=5,IF(ISERROR(_xlfn.ISOWEEKNUM(LF10)),WEEKNUM(LF10,2),_xlfn.ISOWEEKNUM(LF10)),"")</f>
        <v>29</v>
      </c>
      <c r="LG9" s="44" t="str">
        <f t="shared" ref="LG9" si="306">IF(WEEKDAY(LG10)=5,IF(ISERROR(_xlfn.ISOWEEKNUM(LG10)),WEEKNUM(LG10,2),_xlfn.ISOWEEKNUM(LG10)),"")</f>
        <v/>
      </c>
      <c r="LH9" s="44" t="str">
        <f t="shared" ref="LH9" si="307">IF(WEEKDAY(LH10)=5,IF(ISERROR(_xlfn.ISOWEEKNUM(LH10)),WEEKNUM(LH10,2),_xlfn.ISOWEEKNUM(LH10)),"")</f>
        <v/>
      </c>
      <c r="LI9" s="44" t="str">
        <f t="shared" ref="LI9" si="308">IF(WEEKDAY(LI10)=5,IF(ISERROR(_xlfn.ISOWEEKNUM(LI10)),WEEKNUM(LI10,2),_xlfn.ISOWEEKNUM(LI10)),"")</f>
        <v/>
      </c>
      <c r="LJ9" s="44" t="str">
        <f t="shared" ref="LJ9" si="309">IF(WEEKDAY(LJ10)=5,IF(ISERROR(_xlfn.ISOWEEKNUM(LJ10)),WEEKNUM(LJ10,2),_xlfn.ISOWEEKNUM(LJ10)),"")</f>
        <v/>
      </c>
      <c r="LK9" s="44" t="str">
        <f t="shared" ref="LK9" si="310">IF(WEEKDAY(LK10)=5,IF(ISERROR(_xlfn.ISOWEEKNUM(LK10)),WEEKNUM(LK10,2),_xlfn.ISOWEEKNUM(LK10)),"")</f>
        <v/>
      </c>
      <c r="LL9" s="44" t="str">
        <f t="shared" ref="LL9" si="311">IF(WEEKDAY(LL10)=5,IF(ISERROR(_xlfn.ISOWEEKNUM(LL10)),WEEKNUM(LL10,2),_xlfn.ISOWEEKNUM(LL10)),"")</f>
        <v/>
      </c>
      <c r="LM9" s="44">
        <f t="shared" ref="LM9" si="312">IF(WEEKDAY(LM10)=5,IF(ISERROR(_xlfn.ISOWEEKNUM(LM10)),WEEKNUM(LM10,2),_xlfn.ISOWEEKNUM(LM10)),"")</f>
        <v>30</v>
      </c>
      <c r="LN9" s="44" t="str">
        <f t="shared" ref="LN9" si="313">IF(WEEKDAY(LN10)=5,IF(ISERROR(_xlfn.ISOWEEKNUM(LN10)),WEEKNUM(LN10,2),_xlfn.ISOWEEKNUM(LN10)),"")</f>
        <v/>
      </c>
      <c r="LO9" s="44" t="str">
        <f t="shared" ref="LO9" si="314">IF(WEEKDAY(LO10)=5,IF(ISERROR(_xlfn.ISOWEEKNUM(LO10)),WEEKNUM(LO10,2),_xlfn.ISOWEEKNUM(LO10)),"")</f>
        <v/>
      </c>
      <c r="LP9" s="44" t="str">
        <f t="shared" ref="LP9" si="315">IF(WEEKDAY(LP10)=5,IF(ISERROR(_xlfn.ISOWEEKNUM(LP10)),WEEKNUM(LP10,2),_xlfn.ISOWEEKNUM(LP10)),"")</f>
        <v/>
      </c>
      <c r="LQ9" s="44" t="str">
        <f t="shared" ref="LQ9" si="316">IF(WEEKDAY(LQ10)=5,IF(ISERROR(_xlfn.ISOWEEKNUM(LQ10)),WEEKNUM(LQ10,2),_xlfn.ISOWEEKNUM(LQ10)),"")</f>
        <v/>
      </c>
      <c r="LR9" s="44" t="str">
        <f t="shared" ref="LR9" si="317">IF(WEEKDAY(LR10)=5,IF(ISERROR(_xlfn.ISOWEEKNUM(LR10)),WEEKNUM(LR10,2),_xlfn.ISOWEEKNUM(LR10)),"")</f>
        <v/>
      </c>
      <c r="LS9" s="44" t="str">
        <f t="shared" ref="LS9" si="318">IF(WEEKDAY(LS10)=5,IF(ISERROR(_xlfn.ISOWEEKNUM(LS10)),WEEKNUM(LS10,2),_xlfn.ISOWEEKNUM(LS10)),"")</f>
        <v/>
      </c>
      <c r="LT9" s="44">
        <f t="shared" ref="LT9" si="319">IF(WEEKDAY(LT10)=5,IF(ISERROR(_xlfn.ISOWEEKNUM(LT10)),WEEKNUM(LT10,2),_xlfn.ISOWEEKNUM(LT10)),"")</f>
        <v>31</v>
      </c>
      <c r="LU9" s="44" t="str">
        <f t="shared" ref="LU9" si="320">IF(WEEKDAY(LU10)=5,IF(ISERROR(_xlfn.ISOWEEKNUM(LU10)),WEEKNUM(LU10,2),_xlfn.ISOWEEKNUM(LU10)),"")</f>
        <v/>
      </c>
      <c r="LV9" s="44" t="str">
        <f t="shared" ref="LV9" si="321">IF(WEEKDAY(LV10)=5,IF(ISERROR(_xlfn.ISOWEEKNUM(LV10)),WEEKNUM(LV10,2),_xlfn.ISOWEEKNUM(LV10)),"")</f>
        <v/>
      </c>
      <c r="LW9" s="44" t="str">
        <f t="shared" ref="LW9" si="322">IF(WEEKDAY(LW10)=5,IF(ISERROR(_xlfn.ISOWEEKNUM(LW10)),WEEKNUM(LW10,2),_xlfn.ISOWEEKNUM(LW10)),"")</f>
        <v/>
      </c>
      <c r="LX9" s="44" t="str">
        <f t="shared" ref="LX9" si="323">IF(WEEKDAY(LX10)=5,IF(ISERROR(_xlfn.ISOWEEKNUM(LX10)),WEEKNUM(LX10,2),_xlfn.ISOWEEKNUM(LX10)),"")</f>
        <v/>
      </c>
      <c r="LY9" s="44" t="str">
        <f t="shared" ref="LY9" si="324">IF(WEEKDAY(LY10)=5,IF(ISERROR(_xlfn.ISOWEEKNUM(LY10)),WEEKNUM(LY10,2),_xlfn.ISOWEEKNUM(LY10)),"")</f>
        <v/>
      </c>
      <c r="LZ9" s="44" t="str">
        <f t="shared" ref="LZ9" si="325">IF(WEEKDAY(LZ10)=5,IF(ISERROR(_xlfn.ISOWEEKNUM(LZ10)),WEEKNUM(LZ10,2),_xlfn.ISOWEEKNUM(LZ10)),"")</f>
        <v/>
      </c>
      <c r="MA9" s="44">
        <f t="shared" ref="MA9" si="326">IF(WEEKDAY(MA10)=5,IF(ISERROR(_xlfn.ISOWEEKNUM(MA10)),WEEKNUM(MA10,2),_xlfn.ISOWEEKNUM(MA10)),"")</f>
        <v>32</v>
      </c>
      <c r="MB9" s="44" t="str">
        <f t="shared" ref="MB9" si="327">IF(WEEKDAY(MB10)=5,IF(ISERROR(_xlfn.ISOWEEKNUM(MB10)),WEEKNUM(MB10,2),_xlfn.ISOWEEKNUM(MB10)),"")</f>
        <v/>
      </c>
      <c r="MC9" s="44" t="str">
        <f t="shared" ref="MC9" si="328">IF(WEEKDAY(MC10)=5,IF(ISERROR(_xlfn.ISOWEEKNUM(MC10)),WEEKNUM(MC10,2),_xlfn.ISOWEEKNUM(MC10)),"")</f>
        <v/>
      </c>
      <c r="MD9" s="44" t="str">
        <f t="shared" ref="MD9" si="329">IF(WEEKDAY(MD10)=5,IF(ISERROR(_xlfn.ISOWEEKNUM(MD10)),WEEKNUM(MD10,2),_xlfn.ISOWEEKNUM(MD10)),"")</f>
        <v/>
      </c>
      <c r="ME9" s="44" t="str">
        <f t="shared" ref="ME9" si="330">IF(WEEKDAY(ME10)=5,IF(ISERROR(_xlfn.ISOWEEKNUM(ME10)),WEEKNUM(ME10,2),_xlfn.ISOWEEKNUM(ME10)),"")</f>
        <v/>
      </c>
      <c r="MF9" s="44" t="str">
        <f t="shared" ref="MF9" si="331">IF(WEEKDAY(MF10)=5,IF(ISERROR(_xlfn.ISOWEEKNUM(MF10)),WEEKNUM(MF10,2),_xlfn.ISOWEEKNUM(MF10)),"")</f>
        <v/>
      </c>
      <c r="MG9" s="44" t="str">
        <f t="shared" ref="MG9" si="332">IF(WEEKDAY(MG10)=5,IF(ISERROR(_xlfn.ISOWEEKNUM(MG10)),WEEKNUM(MG10,2),_xlfn.ISOWEEKNUM(MG10)),"")</f>
        <v/>
      </c>
      <c r="MH9" s="44">
        <f t="shared" ref="MH9" si="333">IF(WEEKDAY(MH10)=5,IF(ISERROR(_xlfn.ISOWEEKNUM(MH10)),WEEKNUM(MH10,2),_xlfn.ISOWEEKNUM(MH10)),"")</f>
        <v>33</v>
      </c>
      <c r="MI9" s="44" t="str">
        <f t="shared" ref="MI9" si="334">IF(WEEKDAY(MI10)=5,IF(ISERROR(_xlfn.ISOWEEKNUM(MI10)),WEEKNUM(MI10,2),_xlfn.ISOWEEKNUM(MI10)),"")</f>
        <v/>
      </c>
      <c r="MJ9" s="44" t="str">
        <f t="shared" ref="MJ9" si="335">IF(WEEKDAY(MJ10)=5,IF(ISERROR(_xlfn.ISOWEEKNUM(MJ10)),WEEKNUM(MJ10,2),_xlfn.ISOWEEKNUM(MJ10)),"")</f>
        <v/>
      </c>
      <c r="MK9" s="44" t="str">
        <f t="shared" ref="MK9" si="336">IF(WEEKDAY(MK10)=5,IF(ISERROR(_xlfn.ISOWEEKNUM(MK10)),WEEKNUM(MK10,2),_xlfn.ISOWEEKNUM(MK10)),"")</f>
        <v/>
      </c>
      <c r="ML9" s="44" t="str">
        <f t="shared" ref="ML9" si="337">IF(WEEKDAY(ML10)=5,IF(ISERROR(_xlfn.ISOWEEKNUM(ML10)),WEEKNUM(ML10,2),_xlfn.ISOWEEKNUM(ML10)),"")</f>
        <v/>
      </c>
      <c r="MM9" s="44" t="str">
        <f t="shared" ref="MM9" si="338">IF(WEEKDAY(MM10)=5,IF(ISERROR(_xlfn.ISOWEEKNUM(MM10)),WEEKNUM(MM10,2),_xlfn.ISOWEEKNUM(MM10)),"")</f>
        <v/>
      </c>
      <c r="MN9" s="44" t="str">
        <f t="shared" ref="MN9" si="339">IF(WEEKDAY(MN10)=5,IF(ISERROR(_xlfn.ISOWEEKNUM(MN10)),WEEKNUM(MN10,2),_xlfn.ISOWEEKNUM(MN10)),"")</f>
        <v/>
      </c>
      <c r="MO9" s="44">
        <f t="shared" ref="MO9" si="340">IF(WEEKDAY(MO10)=5,IF(ISERROR(_xlfn.ISOWEEKNUM(MO10)),WEEKNUM(MO10,2),_xlfn.ISOWEEKNUM(MO10)),"")</f>
        <v>34</v>
      </c>
      <c r="MP9" s="44" t="str">
        <f t="shared" ref="MP9" si="341">IF(WEEKDAY(MP10)=5,IF(ISERROR(_xlfn.ISOWEEKNUM(MP10)),WEEKNUM(MP10,2),_xlfn.ISOWEEKNUM(MP10)),"")</f>
        <v/>
      </c>
      <c r="MQ9" s="44" t="str">
        <f t="shared" ref="MQ9" si="342">IF(WEEKDAY(MQ10)=5,IF(ISERROR(_xlfn.ISOWEEKNUM(MQ10)),WEEKNUM(MQ10,2),_xlfn.ISOWEEKNUM(MQ10)),"")</f>
        <v/>
      </c>
      <c r="MR9" s="44" t="str">
        <f t="shared" ref="MR9" si="343">IF(WEEKDAY(MR10)=5,IF(ISERROR(_xlfn.ISOWEEKNUM(MR10)),WEEKNUM(MR10,2),_xlfn.ISOWEEKNUM(MR10)),"")</f>
        <v/>
      </c>
      <c r="MS9" s="44" t="str">
        <f t="shared" ref="MS9" si="344">IF(WEEKDAY(MS10)=5,IF(ISERROR(_xlfn.ISOWEEKNUM(MS10)),WEEKNUM(MS10,2),_xlfn.ISOWEEKNUM(MS10)),"")</f>
        <v/>
      </c>
      <c r="MT9" s="44" t="str">
        <f t="shared" ref="MT9" si="345">IF(WEEKDAY(MT10)=5,IF(ISERROR(_xlfn.ISOWEEKNUM(MT10)),WEEKNUM(MT10,2),_xlfn.ISOWEEKNUM(MT10)),"")</f>
        <v/>
      </c>
      <c r="MU9" s="44" t="str">
        <f t="shared" ref="MU9" si="346">IF(WEEKDAY(MU10)=5,IF(ISERROR(_xlfn.ISOWEEKNUM(MU10)),WEEKNUM(MU10,2),_xlfn.ISOWEEKNUM(MU10)),"")</f>
        <v/>
      </c>
      <c r="MV9" s="44">
        <f t="shared" ref="MV9" si="347">IF(WEEKDAY(MV10)=5,IF(ISERROR(_xlfn.ISOWEEKNUM(MV10)),WEEKNUM(MV10,2),_xlfn.ISOWEEKNUM(MV10)),"")</f>
        <v>35</v>
      </c>
      <c r="MW9" s="44" t="str">
        <f t="shared" ref="MW9" si="348">IF(WEEKDAY(MW10)=5,IF(ISERROR(_xlfn.ISOWEEKNUM(MW10)),WEEKNUM(MW10,2),_xlfn.ISOWEEKNUM(MW10)),"")</f>
        <v/>
      </c>
      <c r="MX9" s="44" t="str">
        <f t="shared" ref="MX9" si="349">IF(WEEKDAY(MX10)=5,IF(ISERROR(_xlfn.ISOWEEKNUM(MX10)),WEEKNUM(MX10,2),_xlfn.ISOWEEKNUM(MX10)),"")</f>
        <v/>
      </c>
      <c r="MY9" s="44" t="str">
        <f t="shared" ref="MY9" si="350">IF(WEEKDAY(MY10)=5,IF(ISERROR(_xlfn.ISOWEEKNUM(MY10)),WEEKNUM(MY10,2),_xlfn.ISOWEEKNUM(MY10)),"")</f>
        <v/>
      </c>
      <c r="MZ9" s="44" t="str">
        <f t="shared" ref="MZ9" si="351">IF(WEEKDAY(MZ10)=5,IF(ISERROR(_xlfn.ISOWEEKNUM(MZ10)),WEEKNUM(MZ10,2),_xlfn.ISOWEEKNUM(MZ10)),"")</f>
        <v/>
      </c>
      <c r="NA9" s="44" t="str">
        <f t="shared" ref="NA9" si="352">IF(WEEKDAY(NA10)=5,IF(ISERROR(_xlfn.ISOWEEKNUM(NA10)),WEEKNUM(NA10,2),_xlfn.ISOWEEKNUM(NA10)),"")</f>
        <v/>
      </c>
      <c r="NB9" s="44" t="str">
        <f t="shared" ref="NB9" si="353">IF(WEEKDAY(NB10)=5,IF(ISERROR(_xlfn.ISOWEEKNUM(NB10)),WEEKNUM(NB10,2),_xlfn.ISOWEEKNUM(NB10)),"")</f>
        <v/>
      </c>
      <c r="NC9" s="44">
        <f t="shared" ref="NC9" si="354">IF(WEEKDAY(NC10)=5,IF(ISERROR(_xlfn.ISOWEEKNUM(NC10)),WEEKNUM(NC10,2),_xlfn.ISOWEEKNUM(NC10)),"")</f>
        <v>36</v>
      </c>
      <c r="ND9" s="44" t="str">
        <f t="shared" ref="ND9" si="355">IF(WEEKDAY(ND10)=5,IF(ISERROR(_xlfn.ISOWEEKNUM(ND10)),WEEKNUM(ND10,2),_xlfn.ISOWEEKNUM(ND10)),"")</f>
        <v/>
      </c>
      <c r="NE9" s="44" t="str">
        <f t="shared" ref="NE9" si="356">IF(WEEKDAY(NE10)=5,IF(ISERROR(_xlfn.ISOWEEKNUM(NE10)),WEEKNUM(NE10,2),_xlfn.ISOWEEKNUM(NE10)),"")</f>
        <v/>
      </c>
      <c r="NF9" s="44" t="str">
        <f t="shared" ref="NF9" si="357">IF(WEEKDAY(NF10)=5,IF(ISERROR(_xlfn.ISOWEEKNUM(NF10)),WEEKNUM(NF10,2),_xlfn.ISOWEEKNUM(NF10)),"")</f>
        <v/>
      </c>
      <c r="NG9" s="44" t="str">
        <f t="shared" ref="NG9" si="358">IF(WEEKDAY(NG10)=5,IF(ISERROR(_xlfn.ISOWEEKNUM(NG10)),WEEKNUM(NG10,2),_xlfn.ISOWEEKNUM(NG10)),"")</f>
        <v/>
      </c>
      <c r="NH9" s="44" t="str">
        <f t="shared" ref="NH9" si="359">IF(WEEKDAY(NH10)=5,IF(ISERROR(_xlfn.ISOWEEKNUM(NH10)),WEEKNUM(NH10,2),_xlfn.ISOWEEKNUM(NH10)),"")</f>
        <v/>
      </c>
      <c r="NI9" s="44" t="str">
        <f t="shared" ref="NI9" si="360">IF(WEEKDAY(NI10)=5,IF(ISERROR(_xlfn.ISOWEEKNUM(NI10)),WEEKNUM(NI10,2),_xlfn.ISOWEEKNUM(NI10)),"")</f>
        <v/>
      </c>
      <c r="NJ9" s="44">
        <f t="shared" ref="NJ9" si="361">IF(WEEKDAY(NJ10)=5,IF(ISERROR(_xlfn.ISOWEEKNUM(NJ10)),WEEKNUM(NJ10,2),_xlfn.ISOWEEKNUM(NJ10)),"")</f>
        <v>37</v>
      </c>
      <c r="NK9" s="44" t="str">
        <f t="shared" ref="NK9" si="362">IF(WEEKDAY(NK10)=5,IF(ISERROR(_xlfn.ISOWEEKNUM(NK10)),WEEKNUM(NK10,2),_xlfn.ISOWEEKNUM(NK10)),"")</f>
        <v/>
      </c>
      <c r="NL9" s="44" t="str">
        <f t="shared" ref="NL9" si="363">IF(WEEKDAY(NL10)=5,IF(ISERROR(_xlfn.ISOWEEKNUM(NL10)),WEEKNUM(NL10,2),_xlfn.ISOWEEKNUM(NL10)),"")</f>
        <v/>
      </c>
      <c r="NM9" s="44" t="str">
        <f t="shared" ref="NM9" si="364">IF(WEEKDAY(NM10)=5,IF(ISERROR(_xlfn.ISOWEEKNUM(NM10)),WEEKNUM(NM10,2),_xlfn.ISOWEEKNUM(NM10)),"")</f>
        <v/>
      </c>
      <c r="NN9" s="44" t="str">
        <f t="shared" ref="NN9" si="365">IF(WEEKDAY(NN10)=5,IF(ISERROR(_xlfn.ISOWEEKNUM(NN10)),WEEKNUM(NN10,2),_xlfn.ISOWEEKNUM(NN10)),"")</f>
        <v/>
      </c>
      <c r="NO9" s="44" t="str">
        <f t="shared" ref="NO9" si="366">IF(WEEKDAY(NO10)=5,IF(ISERROR(_xlfn.ISOWEEKNUM(NO10)),WEEKNUM(NO10,2),_xlfn.ISOWEEKNUM(NO10)),"")</f>
        <v/>
      </c>
      <c r="NP9" s="44" t="str">
        <f t="shared" ref="NP9" si="367">IF(WEEKDAY(NP10)=5,IF(ISERROR(_xlfn.ISOWEEKNUM(NP10)),WEEKNUM(NP10,2),_xlfn.ISOWEEKNUM(NP10)),"")</f>
        <v/>
      </c>
      <c r="NQ9" s="44">
        <f t="shared" ref="NQ9" si="368">IF(WEEKDAY(NQ10)=5,IF(ISERROR(_xlfn.ISOWEEKNUM(NQ10)),WEEKNUM(NQ10,2),_xlfn.ISOWEEKNUM(NQ10)),"")</f>
        <v>38</v>
      </c>
      <c r="NR9" s="44" t="str">
        <f t="shared" ref="NR9" si="369">IF(WEEKDAY(NR10)=5,IF(ISERROR(_xlfn.ISOWEEKNUM(NR10)),WEEKNUM(NR10,2),_xlfn.ISOWEEKNUM(NR10)),"")</f>
        <v/>
      </c>
      <c r="NS9" s="44" t="str">
        <f t="shared" ref="NS9" si="370">IF(WEEKDAY(NS10)=5,IF(ISERROR(_xlfn.ISOWEEKNUM(NS10)),WEEKNUM(NS10,2),_xlfn.ISOWEEKNUM(NS10)),"")</f>
        <v/>
      </c>
      <c r="NT9" s="44" t="str">
        <f t="shared" ref="NT9" si="371">IF(WEEKDAY(NT10)=5,IF(ISERROR(_xlfn.ISOWEEKNUM(NT10)),WEEKNUM(NT10,2),_xlfn.ISOWEEKNUM(NT10)),"")</f>
        <v/>
      </c>
      <c r="NU9" s="44" t="str">
        <f t="shared" ref="NU9" si="372">IF(WEEKDAY(NU10)=5,IF(ISERROR(_xlfn.ISOWEEKNUM(NU10)),WEEKNUM(NU10,2),_xlfn.ISOWEEKNUM(NU10)),"")</f>
        <v/>
      </c>
      <c r="NV9" s="44" t="str">
        <f t="shared" ref="NV9" si="373">IF(WEEKDAY(NV10)=5,IF(ISERROR(_xlfn.ISOWEEKNUM(NV10)),WEEKNUM(NV10,2),_xlfn.ISOWEEKNUM(NV10)),"")</f>
        <v/>
      </c>
      <c r="NW9" s="44" t="str">
        <f t="shared" ref="NW9" si="374">IF(WEEKDAY(NW10)=5,IF(ISERROR(_xlfn.ISOWEEKNUM(NW10)),WEEKNUM(NW10,2),_xlfn.ISOWEEKNUM(NW10)),"")</f>
        <v/>
      </c>
      <c r="NX9" s="44">
        <f t="shared" ref="NX9" si="375">IF(WEEKDAY(NX10)=5,IF(ISERROR(_xlfn.ISOWEEKNUM(NX10)),WEEKNUM(NX10,2),_xlfn.ISOWEEKNUM(NX10)),"")</f>
        <v>39</v>
      </c>
      <c r="NY9" s="44" t="str">
        <f t="shared" ref="NY9" si="376">IF(WEEKDAY(NY10)=5,IF(ISERROR(_xlfn.ISOWEEKNUM(NY10)),WEEKNUM(NY10,2),_xlfn.ISOWEEKNUM(NY10)),"")</f>
        <v/>
      </c>
      <c r="NZ9" s="44" t="str">
        <f t="shared" ref="NZ9" si="377">IF(WEEKDAY(NZ10)=5,IF(ISERROR(_xlfn.ISOWEEKNUM(NZ10)),WEEKNUM(NZ10,2),_xlfn.ISOWEEKNUM(NZ10)),"")</f>
        <v/>
      </c>
      <c r="OA9" s="44" t="str">
        <f t="shared" ref="OA9" si="378">IF(WEEKDAY(OA10)=5,IF(ISERROR(_xlfn.ISOWEEKNUM(OA10)),WEEKNUM(OA10,2),_xlfn.ISOWEEKNUM(OA10)),"")</f>
        <v/>
      </c>
      <c r="OB9" s="44" t="str">
        <f t="shared" ref="OB9" si="379">IF(WEEKDAY(OB10)=5,IF(ISERROR(_xlfn.ISOWEEKNUM(OB10)),WEEKNUM(OB10,2),_xlfn.ISOWEEKNUM(OB10)),"")</f>
        <v/>
      </c>
      <c r="OC9" s="44" t="str">
        <f t="shared" ref="OC9" si="380">IF(WEEKDAY(OC10)=5,IF(ISERROR(_xlfn.ISOWEEKNUM(OC10)),WEEKNUM(OC10,2),_xlfn.ISOWEEKNUM(OC10)),"")</f>
        <v/>
      </c>
      <c r="OD9" s="44" t="str">
        <f t="shared" ref="OD9" si="381">IF(WEEKDAY(OD10)=5,IF(ISERROR(_xlfn.ISOWEEKNUM(OD10)),WEEKNUM(OD10,2),_xlfn.ISOWEEKNUM(OD10)),"")</f>
        <v/>
      </c>
      <c r="OE9" s="44">
        <f t="shared" ref="OE9" si="382">IF(WEEKDAY(OE10)=5,IF(ISERROR(_xlfn.ISOWEEKNUM(OE10)),WEEKNUM(OE10,2),_xlfn.ISOWEEKNUM(OE10)),"")</f>
        <v>40</v>
      </c>
      <c r="OF9" s="44" t="str">
        <f t="shared" ref="OF9" si="383">IF(WEEKDAY(OF10)=5,IF(ISERROR(_xlfn.ISOWEEKNUM(OF10)),WEEKNUM(OF10,2),_xlfn.ISOWEEKNUM(OF10)),"")</f>
        <v/>
      </c>
      <c r="OG9" s="44" t="str">
        <f t="shared" ref="OG9" si="384">IF(WEEKDAY(OG10)=5,IF(ISERROR(_xlfn.ISOWEEKNUM(OG10)),WEEKNUM(OG10,2),_xlfn.ISOWEEKNUM(OG10)),"")</f>
        <v/>
      </c>
      <c r="OH9" s="44" t="str">
        <f t="shared" ref="OH9" si="385">IF(WEEKDAY(OH10)=5,IF(ISERROR(_xlfn.ISOWEEKNUM(OH10)),WEEKNUM(OH10,2),_xlfn.ISOWEEKNUM(OH10)),"")</f>
        <v/>
      </c>
      <c r="OI9" s="44" t="str">
        <f t="shared" ref="OI9" si="386">IF(WEEKDAY(OI10)=5,IF(ISERROR(_xlfn.ISOWEEKNUM(OI10)),WEEKNUM(OI10,2),_xlfn.ISOWEEKNUM(OI10)),"")</f>
        <v/>
      </c>
      <c r="OJ9" s="44" t="str">
        <f t="shared" ref="OJ9" si="387">IF(WEEKDAY(OJ10)=5,IF(ISERROR(_xlfn.ISOWEEKNUM(OJ10)),WEEKNUM(OJ10,2),_xlfn.ISOWEEKNUM(OJ10)),"")</f>
        <v/>
      </c>
      <c r="OK9" s="44" t="str">
        <f t="shared" ref="OK9" si="388">IF(WEEKDAY(OK10)=5,IF(ISERROR(_xlfn.ISOWEEKNUM(OK10)),WEEKNUM(OK10,2),_xlfn.ISOWEEKNUM(OK10)),"")</f>
        <v/>
      </c>
      <c r="OL9" s="44">
        <f t="shared" ref="OL9" si="389">IF(WEEKDAY(OL10)=5,IF(ISERROR(_xlfn.ISOWEEKNUM(OL10)),WEEKNUM(OL10,2),_xlfn.ISOWEEKNUM(OL10)),"")</f>
        <v>41</v>
      </c>
      <c r="OM9" s="44" t="str">
        <f t="shared" ref="OM9" si="390">IF(WEEKDAY(OM10)=5,IF(ISERROR(_xlfn.ISOWEEKNUM(OM10)),WEEKNUM(OM10,2),_xlfn.ISOWEEKNUM(OM10)),"")</f>
        <v/>
      </c>
      <c r="ON9" s="44" t="str">
        <f t="shared" ref="ON9" si="391">IF(WEEKDAY(ON10)=5,IF(ISERROR(_xlfn.ISOWEEKNUM(ON10)),WEEKNUM(ON10,2),_xlfn.ISOWEEKNUM(ON10)),"")</f>
        <v/>
      </c>
      <c r="OO9" s="44" t="str">
        <f t="shared" ref="OO9" si="392">IF(WEEKDAY(OO10)=5,IF(ISERROR(_xlfn.ISOWEEKNUM(OO10)),WEEKNUM(OO10,2),_xlfn.ISOWEEKNUM(OO10)),"")</f>
        <v/>
      </c>
      <c r="OP9" s="44" t="str">
        <f t="shared" ref="OP9" si="393">IF(WEEKDAY(OP10)=5,IF(ISERROR(_xlfn.ISOWEEKNUM(OP10)),WEEKNUM(OP10,2),_xlfn.ISOWEEKNUM(OP10)),"")</f>
        <v/>
      </c>
      <c r="OQ9" s="44" t="str">
        <f t="shared" ref="OQ9" si="394">IF(WEEKDAY(OQ10)=5,IF(ISERROR(_xlfn.ISOWEEKNUM(OQ10)),WEEKNUM(OQ10,2),_xlfn.ISOWEEKNUM(OQ10)),"")</f>
        <v/>
      </c>
      <c r="OR9" s="44" t="str">
        <f t="shared" ref="OR9" si="395">IF(WEEKDAY(OR10)=5,IF(ISERROR(_xlfn.ISOWEEKNUM(OR10)),WEEKNUM(OR10,2),_xlfn.ISOWEEKNUM(OR10)),"")</f>
        <v/>
      </c>
      <c r="OS9" s="44">
        <f t="shared" ref="OS9" si="396">IF(WEEKDAY(OS10)=5,IF(ISERROR(_xlfn.ISOWEEKNUM(OS10)),WEEKNUM(OS10,2),_xlfn.ISOWEEKNUM(OS10)),"")</f>
        <v>42</v>
      </c>
      <c r="OT9" s="44" t="str">
        <f t="shared" ref="OT9" si="397">IF(WEEKDAY(OT10)=5,IF(ISERROR(_xlfn.ISOWEEKNUM(OT10)),WEEKNUM(OT10,2),_xlfn.ISOWEEKNUM(OT10)),"")</f>
        <v/>
      </c>
      <c r="OU9" s="44" t="str">
        <f t="shared" ref="OU9" si="398">IF(WEEKDAY(OU10)=5,IF(ISERROR(_xlfn.ISOWEEKNUM(OU10)),WEEKNUM(OU10,2),_xlfn.ISOWEEKNUM(OU10)),"")</f>
        <v/>
      </c>
      <c r="OV9" s="44" t="str">
        <f t="shared" ref="OV9" si="399">IF(WEEKDAY(OV10)=5,IF(ISERROR(_xlfn.ISOWEEKNUM(OV10)),WEEKNUM(OV10,2),_xlfn.ISOWEEKNUM(OV10)),"")</f>
        <v/>
      </c>
      <c r="OW9" s="44" t="str">
        <f t="shared" ref="OW9" si="400">IF(WEEKDAY(OW10)=5,IF(ISERROR(_xlfn.ISOWEEKNUM(OW10)),WEEKNUM(OW10,2),_xlfn.ISOWEEKNUM(OW10)),"")</f>
        <v/>
      </c>
      <c r="OX9" s="44" t="str">
        <f t="shared" ref="OX9" si="401">IF(WEEKDAY(OX10)=5,IF(ISERROR(_xlfn.ISOWEEKNUM(OX10)),WEEKNUM(OX10,2),_xlfn.ISOWEEKNUM(OX10)),"")</f>
        <v/>
      </c>
      <c r="OY9" s="44" t="str">
        <f t="shared" ref="OY9" si="402">IF(WEEKDAY(OY10)=5,IF(ISERROR(_xlfn.ISOWEEKNUM(OY10)),WEEKNUM(OY10,2),_xlfn.ISOWEEKNUM(OY10)),"")</f>
        <v/>
      </c>
      <c r="OZ9" s="44">
        <f t="shared" ref="OZ9" si="403">IF(WEEKDAY(OZ10)=5,IF(ISERROR(_xlfn.ISOWEEKNUM(OZ10)),WEEKNUM(OZ10,2),_xlfn.ISOWEEKNUM(OZ10)),"")</f>
        <v>43</v>
      </c>
      <c r="PA9" s="44" t="str">
        <f t="shared" ref="PA9" si="404">IF(WEEKDAY(PA10)=5,IF(ISERROR(_xlfn.ISOWEEKNUM(PA10)),WEEKNUM(PA10,2),_xlfn.ISOWEEKNUM(PA10)),"")</f>
        <v/>
      </c>
      <c r="PB9" s="44" t="str">
        <f t="shared" ref="PB9" si="405">IF(WEEKDAY(PB10)=5,IF(ISERROR(_xlfn.ISOWEEKNUM(PB10)),WEEKNUM(PB10,2),_xlfn.ISOWEEKNUM(PB10)),"")</f>
        <v/>
      </c>
      <c r="PC9" s="44" t="str">
        <f t="shared" ref="PC9" si="406">IF(WEEKDAY(PC10)=5,IF(ISERROR(_xlfn.ISOWEEKNUM(PC10)),WEEKNUM(PC10,2),_xlfn.ISOWEEKNUM(PC10)),"")</f>
        <v/>
      </c>
      <c r="PD9" s="44" t="str">
        <f t="shared" ref="PD9" si="407">IF(WEEKDAY(PD10)=5,IF(ISERROR(_xlfn.ISOWEEKNUM(PD10)),WEEKNUM(PD10,2),_xlfn.ISOWEEKNUM(PD10)),"")</f>
        <v/>
      </c>
      <c r="PE9" s="44" t="str">
        <f t="shared" ref="PE9" si="408">IF(WEEKDAY(PE10)=5,IF(ISERROR(_xlfn.ISOWEEKNUM(PE10)),WEEKNUM(PE10,2),_xlfn.ISOWEEKNUM(PE10)),"")</f>
        <v/>
      </c>
      <c r="PF9" s="44" t="str">
        <f t="shared" ref="PF9" si="409">IF(WEEKDAY(PF10)=5,IF(ISERROR(_xlfn.ISOWEEKNUM(PF10)),WEEKNUM(PF10,2),_xlfn.ISOWEEKNUM(PF10)),"")</f>
        <v/>
      </c>
      <c r="PG9" s="44">
        <f t="shared" ref="PG9" si="410">IF(WEEKDAY(PG10)=5,IF(ISERROR(_xlfn.ISOWEEKNUM(PG10)),WEEKNUM(PG10,2),_xlfn.ISOWEEKNUM(PG10)),"")</f>
        <v>44</v>
      </c>
      <c r="PH9" s="44" t="str">
        <f t="shared" ref="PH9" si="411">IF(WEEKDAY(PH10)=5,IF(ISERROR(_xlfn.ISOWEEKNUM(PH10)),WEEKNUM(PH10,2),_xlfn.ISOWEEKNUM(PH10)),"")</f>
        <v/>
      </c>
      <c r="PI9" s="44" t="str">
        <f t="shared" ref="PI9" si="412">IF(WEEKDAY(PI10)=5,IF(ISERROR(_xlfn.ISOWEEKNUM(PI10)),WEEKNUM(PI10,2),_xlfn.ISOWEEKNUM(PI10)),"")</f>
        <v/>
      </c>
      <c r="PJ9" s="44" t="str">
        <f t="shared" ref="PJ9" si="413">IF(WEEKDAY(PJ10)=5,IF(ISERROR(_xlfn.ISOWEEKNUM(PJ10)),WEEKNUM(PJ10,2),_xlfn.ISOWEEKNUM(PJ10)),"")</f>
        <v/>
      </c>
      <c r="PK9" s="44" t="str">
        <f t="shared" ref="PK9" si="414">IF(WEEKDAY(PK10)=5,IF(ISERROR(_xlfn.ISOWEEKNUM(PK10)),WEEKNUM(PK10,2),_xlfn.ISOWEEKNUM(PK10)),"")</f>
        <v/>
      </c>
      <c r="PL9" s="44" t="str">
        <f t="shared" ref="PL9" si="415">IF(WEEKDAY(PL10)=5,IF(ISERROR(_xlfn.ISOWEEKNUM(PL10)),WEEKNUM(PL10,2),_xlfn.ISOWEEKNUM(PL10)),"")</f>
        <v/>
      </c>
      <c r="PM9" s="44" t="str">
        <f t="shared" ref="PM9" si="416">IF(WEEKDAY(PM10)=5,IF(ISERROR(_xlfn.ISOWEEKNUM(PM10)),WEEKNUM(PM10,2),_xlfn.ISOWEEKNUM(PM10)),"")</f>
        <v/>
      </c>
      <c r="PN9" s="44">
        <f t="shared" ref="PN9" si="417">IF(WEEKDAY(PN10)=5,IF(ISERROR(_xlfn.ISOWEEKNUM(PN10)),WEEKNUM(PN10,2),_xlfn.ISOWEEKNUM(PN10)),"")</f>
        <v>45</v>
      </c>
      <c r="PO9" s="44" t="str">
        <f t="shared" ref="PO9" si="418">IF(WEEKDAY(PO10)=5,IF(ISERROR(_xlfn.ISOWEEKNUM(PO10)),WEEKNUM(PO10,2),_xlfn.ISOWEEKNUM(PO10)),"")</f>
        <v/>
      </c>
      <c r="PP9" s="44" t="str">
        <f t="shared" ref="PP9" si="419">IF(WEEKDAY(PP10)=5,IF(ISERROR(_xlfn.ISOWEEKNUM(PP10)),WEEKNUM(PP10,2),_xlfn.ISOWEEKNUM(PP10)),"")</f>
        <v/>
      </c>
      <c r="PQ9" s="44" t="str">
        <f t="shared" ref="PQ9" si="420">IF(WEEKDAY(PQ10)=5,IF(ISERROR(_xlfn.ISOWEEKNUM(PQ10)),WEEKNUM(PQ10,2),_xlfn.ISOWEEKNUM(PQ10)),"")</f>
        <v/>
      </c>
      <c r="PR9" s="45" t="str">
        <f t="shared" ref="PR9" si="421">IF(WEEKDAY(PR10)=5,IF(ISERROR(_xlfn.ISOWEEKNUM(PR10)),WEEKNUM(PR10,2),_xlfn.ISOWEEKNUM(PR10)),"")</f>
        <v/>
      </c>
    </row>
    <row r="10" spans="1:434" ht="13.2">
      <c r="A10" s="6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69"/>
      <c r="M10" s="69"/>
      <c r="N10" s="18">
        <f>$E$3-WEEKDAY(DateDebutProjet,3)+(week-1)*7</f>
        <v>45915</v>
      </c>
      <c r="O10" s="18">
        <f>N10+1</f>
        <v>45916</v>
      </c>
      <c r="P10" s="18">
        <f t="shared" ref="P10:CA10" si="422">O10+1</f>
        <v>45917</v>
      </c>
      <c r="Q10" s="18">
        <f t="shared" si="422"/>
        <v>45918</v>
      </c>
      <c r="R10" s="18">
        <f t="shared" si="422"/>
        <v>45919</v>
      </c>
      <c r="S10" s="18">
        <f t="shared" si="422"/>
        <v>45920</v>
      </c>
      <c r="T10" s="18">
        <f t="shared" si="422"/>
        <v>45921</v>
      </c>
      <c r="U10" s="18">
        <f t="shared" si="422"/>
        <v>45922</v>
      </c>
      <c r="V10" s="18">
        <f t="shared" si="422"/>
        <v>45923</v>
      </c>
      <c r="W10" s="18">
        <f t="shared" si="422"/>
        <v>45924</v>
      </c>
      <c r="X10" s="18">
        <f t="shared" si="422"/>
        <v>45925</v>
      </c>
      <c r="Y10" s="18">
        <f t="shared" si="422"/>
        <v>45926</v>
      </c>
      <c r="Z10" s="18">
        <f t="shared" si="422"/>
        <v>45927</v>
      </c>
      <c r="AA10" s="18">
        <f t="shared" si="422"/>
        <v>45928</v>
      </c>
      <c r="AB10" s="18">
        <f t="shared" si="422"/>
        <v>45929</v>
      </c>
      <c r="AC10" s="18">
        <f t="shared" si="422"/>
        <v>45930</v>
      </c>
      <c r="AD10" s="18">
        <f t="shared" si="422"/>
        <v>45931</v>
      </c>
      <c r="AE10" s="18">
        <f t="shared" si="422"/>
        <v>45932</v>
      </c>
      <c r="AF10" s="18">
        <f t="shared" si="422"/>
        <v>45933</v>
      </c>
      <c r="AG10" s="18">
        <f t="shared" si="422"/>
        <v>45934</v>
      </c>
      <c r="AH10" s="18">
        <f t="shared" si="422"/>
        <v>45935</v>
      </c>
      <c r="AI10" s="18">
        <f t="shared" si="422"/>
        <v>45936</v>
      </c>
      <c r="AJ10" s="18">
        <f t="shared" si="422"/>
        <v>45937</v>
      </c>
      <c r="AK10" s="18">
        <f t="shared" si="422"/>
        <v>45938</v>
      </c>
      <c r="AL10" s="18">
        <f t="shared" si="422"/>
        <v>45939</v>
      </c>
      <c r="AM10" s="18">
        <f t="shared" si="422"/>
        <v>45940</v>
      </c>
      <c r="AN10" s="18">
        <f t="shared" si="422"/>
        <v>45941</v>
      </c>
      <c r="AO10" s="18">
        <f t="shared" si="422"/>
        <v>45942</v>
      </c>
      <c r="AP10" s="18">
        <f t="shared" si="422"/>
        <v>45943</v>
      </c>
      <c r="AQ10" s="18">
        <f t="shared" si="422"/>
        <v>45944</v>
      </c>
      <c r="AR10" s="18">
        <f t="shared" si="422"/>
        <v>45945</v>
      </c>
      <c r="AS10" s="18">
        <f t="shared" si="422"/>
        <v>45946</v>
      </c>
      <c r="AT10" s="18">
        <f t="shared" si="422"/>
        <v>45947</v>
      </c>
      <c r="AU10" s="18">
        <f t="shared" si="422"/>
        <v>45948</v>
      </c>
      <c r="AV10" s="18">
        <f t="shared" si="422"/>
        <v>45949</v>
      </c>
      <c r="AW10" s="18">
        <f t="shared" si="422"/>
        <v>45950</v>
      </c>
      <c r="AX10" s="18">
        <f t="shared" si="422"/>
        <v>45951</v>
      </c>
      <c r="AY10" s="18">
        <f t="shared" si="422"/>
        <v>45952</v>
      </c>
      <c r="AZ10" s="18">
        <f t="shared" si="422"/>
        <v>45953</v>
      </c>
      <c r="BA10" s="18">
        <f t="shared" si="422"/>
        <v>45954</v>
      </c>
      <c r="BB10" s="18">
        <f t="shared" si="422"/>
        <v>45955</v>
      </c>
      <c r="BC10" s="18">
        <f t="shared" si="422"/>
        <v>45956</v>
      </c>
      <c r="BD10" s="18">
        <f t="shared" si="422"/>
        <v>45957</v>
      </c>
      <c r="BE10" s="18">
        <f t="shared" si="422"/>
        <v>45958</v>
      </c>
      <c r="BF10" s="18">
        <f t="shared" si="422"/>
        <v>45959</v>
      </c>
      <c r="BG10" s="18">
        <f t="shared" si="422"/>
        <v>45960</v>
      </c>
      <c r="BH10" s="18">
        <f t="shared" si="422"/>
        <v>45961</v>
      </c>
      <c r="BI10" s="18">
        <f t="shared" si="422"/>
        <v>45962</v>
      </c>
      <c r="BJ10" s="18">
        <f t="shared" si="422"/>
        <v>45963</v>
      </c>
      <c r="BK10" s="18">
        <f t="shared" si="422"/>
        <v>45964</v>
      </c>
      <c r="BL10" s="18">
        <f t="shared" si="422"/>
        <v>45965</v>
      </c>
      <c r="BM10" s="18">
        <f t="shared" si="422"/>
        <v>45966</v>
      </c>
      <c r="BN10" s="18">
        <f t="shared" si="422"/>
        <v>45967</v>
      </c>
      <c r="BO10" s="18">
        <f t="shared" si="422"/>
        <v>45968</v>
      </c>
      <c r="BP10" s="18">
        <f t="shared" si="422"/>
        <v>45969</v>
      </c>
      <c r="BQ10" s="18">
        <f t="shared" si="422"/>
        <v>45970</v>
      </c>
      <c r="BR10" s="18">
        <f t="shared" si="422"/>
        <v>45971</v>
      </c>
      <c r="BS10" s="18">
        <f t="shared" si="422"/>
        <v>45972</v>
      </c>
      <c r="BT10" s="18">
        <f t="shared" si="422"/>
        <v>45973</v>
      </c>
      <c r="BU10" s="18">
        <f t="shared" si="422"/>
        <v>45974</v>
      </c>
      <c r="BV10" s="18">
        <f t="shared" si="422"/>
        <v>45975</v>
      </c>
      <c r="BW10" s="18">
        <f t="shared" si="422"/>
        <v>45976</v>
      </c>
      <c r="BX10" s="18">
        <f t="shared" si="422"/>
        <v>45977</v>
      </c>
      <c r="BY10" s="18">
        <f t="shared" si="422"/>
        <v>45978</v>
      </c>
      <c r="BZ10" s="18">
        <f t="shared" si="422"/>
        <v>45979</v>
      </c>
      <c r="CA10" s="18">
        <f t="shared" si="422"/>
        <v>45980</v>
      </c>
      <c r="CB10" s="18">
        <f t="shared" ref="CB10:EM10" si="423">CA10+1</f>
        <v>45981</v>
      </c>
      <c r="CC10" s="18">
        <f t="shared" si="423"/>
        <v>45982</v>
      </c>
      <c r="CD10" s="18">
        <f t="shared" si="423"/>
        <v>45983</v>
      </c>
      <c r="CE10" s="18">
        <f t="shared" si="423"/>
        <v>45984</v>
      </c>
      <c r="CF10" s="18">
        <f t="shared" si="423"/>
        <v>45985</v>
      </c>
      <c r="CG10" s="18">
        <f t="shared" si="423"/>
        <v>45986</v>
      </c>
      <c r="CH10" s="18">
        <f t="shared" si="423"/>
        <v>45987</v>
      </c>
      <c r="CI10" s="18">
        <f t="shared" si="423"/>
        <v>45988</v>
      </c>
      <c r="CJ10" s="18">
        <f t="shared" si="423"/>
        <v>45989</v>
      </c>
      <c r="CK10" s="18">
        <f t="shared" si="423"/>
        <v>45990</v>
      </c>
      <c r="CL10" s="18">
        <f t="shared" si="423"/>
        <v>45991</v>
      </c>
      <c r="CM10" s="18">
        <f t="shared" si="423"/>
        <v>45992</v>
      </c>
      <c r="CN10" s="18">
        <f t="shared" si="423"/>
        <v>45993</v>
      </c>
      <c r="CO10" s="18">
        <f t="shared" si="423"/>
        <v>45994</v>
      </c>
      <c r="CP10" s="18">
        <f t="shared" si="423"/>
        <v>45995</v>
      </c>
      <c r="CQ10" s="18">
        <f t="shared" si="423"/>
        <v>45996</v>
      </c>
      <c r="CR10" s="18">
        <f t="shared" si="423"/>
        <v>45997</v>
      </c>
      <c r="CS10" s="18">
        <f t="shared" si="423"/>
        <v>45998</v>
      </c>
      <c r="CT10" s="18">
        <f t="shared" si="423"/>
        <v>45999</v>
      </c>
      <c r="CU10" s="18">
        <f t="shared" si="423"/>
        <v>46000</v>
      </c>
      <c r="CV10" s="18">
        <f t="shared" si="423"/>
        <v>46001</v>
      </c>
      <c r="CW10" s="18">
        <f t="shared" si="423"/>
        <v>46002</v>
      </c>
      <c r="CX10" s="18">
        <f t="shared" si="423"/>
        <v>46003</v>
      </c>
      <c r="CY10" s="18">
        <f t="shared" si="423"/>
        <v>46004</v>
      </c>
      <c r="CZ10" s="18">
        <f t="shared" si="423"/>
        <v>46005</v>
      </c>
      <c r="DA10" s="18">
        <f t="shared" si="423"/>
        <v>46006</v>
      </c>
      <c r="DB10" s="18">
        <f t="shared" si="423"/>
        <v>46007</v>
      </c>
      <c r="DC10" s="18">
        <f t="shared" si="423"/>
        <v>46008</v>
      </c>
      <c r="DD10" s="18">
        <f t="shared" si="423"/>
        <v>46009</v>
      </c>
      <c r="DE10" s="18">
        <f t="shared" si="423"/>
        <v>46010</v>
      </c>
      <c r="DF10" s="18">
        <f t="shared" si="423"/>
        <v>46011</v>
      </c>
      <c r="DG10" s="18">
        <f t="shared" si="423"/>
        <v>46012</v>
      </c>
      <c r="DH10" s="18">
        <f t="shared" si="423"/>
        <v>46013</v>
      </c>
      <c r="DI10" s="18">
        <f t="shared" si="423"/>
        <v>46014</v>
      </c>
      <c r="DJ10" s="18">
        <f t="shared" si="423"/>
        <v>46015</v>
      </c>
      <c r="DK10" s="18">
        <f t="shared" si="423"/>
        <v>46016</v>
      </c>
      <c r="DL10" s="18">
        <f t="shared" si="423"/>
        <v>46017</v>
      </c>
      <c r="DM10" s="18">
        <f t="shared" si="423"/>
        <v>46018</v>
      </c>
      <c r="DN10" s="18">
        <f t="shared" si="423"/>
        <v>46019</v>
      </c>
      <c r="DO10" s="18">
        <f t="shared" si="423"/>
        <v>46020</v>
      </c>
      <c r="DP10" s="18">
        <f t="shared" si="423"/>
        <v>46021</v>
      </c>
      <c r="DQ10" s="18">
        <f t="shared" si="423"/>
        <v>46022</v>
      </c>
      <c r="DR10" s="18">
        <f t="shared" si="423"/>
        <v>46023</v>
      </c>
      <c r="DS10" s="18">
        <f t="shared" si="423"/>
        <v>46024</v>
      </c>
      <c r="DT10" s="18">
        <f t="shared" si="423"/>
        <v>46025</v>
      </c>
      <c r="DU10" s="18">
        <f t="shared" si="423"/>
        <v>46026</v>
      </c>
      <c r="DV10" s="18">
        <f t="shared" si="423"/>
        <v>46027</v>
      </c>
      <c r="DW10" s="18">
        <f t="shared" si="423"/>
        <v>46028</v>
      </c>
      <c r="DX10" s="18">
        <f t="shared" si="423"/>
        <v>46029</v>
      </c>
      <c r="DY10" s="18">
        <f t="shared" si="423"/>
        <v>46030</v>
      </c>
      <c r="DZ10" s="18">
        <f t="shared" si="423"/>
        <v>46031</v>
      </c>
      <c r="EA10" s="18">
        <f t="shared" si="423"/>
        <v>46032</v>
      </c>
      <c r="EB10" s="18">
        <f t="shared" si="423"/>
        <v>46033</v>
      </c>
      <c r="EC10" s="18">
        <f t="shared" si="423"/>
        <v>46034</v>
      </c>
      <c r="ED10" s="18">
        <f t="shared" si="423"/>
        <v>46035</v>
      </c>
      <c r="EE10" s="18">
        <f t="shared" si="423"/>
        <v>46036</v>
      </c>
      <c r="EF10" s="18">
        <f t="shared" si="423"/>
        <v>46037</v>
      </c>
      <c r="EG10" s="18">
        <f t="shared" si="423"/>
        <v>46038</v>
      </c>
      <c r="EH10" s="18">
        <f t="shared" si="423"/>
        <v>46039</v>
      </c>
      <c r="EI10" s="18">
        <f t="shared" si="423"/>
        <v>46040</v>
      </c>
      <c r="EJ10" s="18">
        <f t="shared" si="423"/>
        <v>46041</v>
      </c>
      <c r="EK10" s="18">
        <f t="shared" si="423"/>
        <v>46042</v>
      </c>
      <c r="EL10" s="18">
        <f t="shared" si="423"/>
        <v>46043</v>
      </c>
      <c r="EM10" s="18">
        <f t="shared" si="423"/>
        <v>46044</v>
      </c>
      <c r="EN10" s="18">
        <f t="shared" ref="EN10:GY10" si="424">EM10+1</f>
        <v>46045</v>
      </c>
      <c r="EO10" s="18">
        <f t="shared" si="424"/>
        <v>46046</v>
      </c>
      <c r="EP10" s="18">
        <f t="shared" si="424"/>
        <v>46047</v>
      </c>
      <c r="EQ10" s="18">
        <f t="shared" si="424"/>
        <v>46048</v>
      </c>
      <c r="ER10" s="18">
        <f t="shared" si="424"/>
        <v>46049</v>
      </c>
      <c r="ES10" s="18">
        <f t="shared" si="424"/>
        <v>46050</v>
      </c>
      <c r="ET10" s="18">
        <f t="shared" si="424"/>
        <v>46051</v>
      </c>
      <c r="EU10" s="18">
        <f t="shared" si="424"/>
        <v>46052</v>
      </c>
      <c r="EV10" s="18">
        <f t="shared" si="424"/>
        <v>46053</v>
      </c>
      <c r="EW10" s="18">
        <f t="shared" si="424"/>
        <v>46054</v>
      </c>
      <c r="EX10" s="18">
        <f t="shared" si="424"/>
        <v>46055</v>
      </c>
      <c r="EY10" s="18">
        <f t="shared" si="424"/>
        <v>46056</v>
      </c>
      <c r="EZ10" s="18">
        <f t="shared" si="424"/>
        <v>46057</v>
      </c>
      <c r="FA10" s="18">
        <f t="shared" si="424"/>
        <v>46058</v>
      </c>
      <c r="FB10" s="18">
        <f t="shared" si="424"/>
        <v>46059</v>
      </c>
      <c r="FC10" s="18">
        <f t="shared" si="424"/>
        <v>46060</v>
      </c>
      <c r="FD10" s="18">
        <f t="shared" si="424"/>
        <v>46061</v>
      </c>
      <c r="FE10" s="18">
        <f t="shared" si="424"/>
        <v>46062</v>
      </c>
      <c r="FF10" s="18">
        <f t="shared" si="424"/>
        <v>46063</v>
      </c>
      <c r="FG10" s="18">
        <f t="shared" si="424"/>
        <v>46064</v>
      </c>
      <c r="FH10" s="18">
        <f t="shared" si="424"/>
        <v>46065</v>
      </c>
      <c r="FI10" s="18">
        <f t="shared" si="424"/>
        <v>46066</v>
      </c>
      <c r="FJ10" s="18">
        <f t="shared" si="424"/>
        <v>46067</v>
      </c>
      <c r="FK10" s="18">
        <f t="shared" si="424"/>
        <v>46068</v>
      </c>
      <c r="FL10" s="18">
        <f t="shared" si="424"/>
        <v>46069</v>
      </c>
      <c r="FM10" s="18">
        <f t="shared" si="424"/>
        <v>46070</v>
      </c>
      <c r="FN10" s="18">
        <f t="shared" si="424"/>
        <v>46071</v>
      </c>
      <c r="FO10" s="18">
        <f t="shared" si="424"/>
        <v>46072</v>
      </c>
      <c r="FP10" s="18">
        <f t="shared" si="424"/>
        <v>46073</v>
      </c>
      <c r="FQ10" s="18">
        <f t="shared" si="424"/>
        <v>46074</v>
      </c>
      <c r="FR10" s="18">
        <f t="shared" si="424"/>
        <v>46075</v>
      </c>
      <c r="FS10" s="18">
        <f t="shared" si="424"/>
        <v>46076</v>
      </c>
      <c r="FT10" s="18">
        <f t="shared" si="424"/>
        <v>46077</v>
      </c>
      <c r="FU10" s="18">
        <f t="shared" si="424"/>
        <v>46078</v>
      </c>
      <c r="FV10" s="18">
        <f t="shared" si="424"/>
        <v>46079</v>
      </c>
      <c r="FW10" s="18">
        <f t="shared" si="424"/>
        <v>46080</v>
      </c>
      <c r="FX10" s="18">
        <f t="shared" si="424"/>
        <v>46081</v>
      </c>
      <c r="FY10" s="18">
        <f t="shared" si="424"/>
        <v>46082</v>
      </c>
      <c r="FZ10" s="18">
        <f t="shared" si="424"/>
        <v>46083</v>
      </c>
      <c r="GA10" s="18">
        <f t="shared" si="424"/>
        <v>46084</v>
      </c>
      <c r="GB10" s="18">
        <f t="shared" si="424"/>
        <v>46085</v>
      </c>
      <c r="GC10" s="18">
        <f t="shared" si="424"/>
        <v>46086</v>
      </c>
      <c r="GD10" s="18">
        <f t="shared" si="424"/>
        <v>46087</v>
      </c>
      <c r="GE10" s="18">
        <f t="shared" si="424"/>
        <v>46088</v>
      </c>
      <c r="GF10" s="18">
        <f t="shared" si="424"/>
        <v>46089</v>
      </c>
      <c r="GG10" s="18">
        <f t="shared" si="424"/>
        <v>46090</v>
      </c>
      <c r="GH10" s="18">
        <f t="shared" si="424"/>
        <v>46091</v>
      </c>
      <c r="GI10" s="18">
        <f t="shared" si="424"/>
        <v>46092</v>
      </c>
      <c r="GJ10" s="18">
        <f t="shared" si="424"/>
        <v>46093</v>
      </c>
      <c r="GK10" s="18">
        <f t="shared" si="424"/>
        <v>46094</v>
      </c>
      <c r="GL10" s="18">
        <f t="shared" si="424"/>
        <v>46095</v>
      </c>
      <c r="GM10" s="18">
        <f t="shared" si="424"/>
        <v>46096</v>
      </c>
      <c r="GN10" s="18">
        <f t="shared" si="424"/>
        <v>46097</v>
      </c>
      <c r="GO10" s="18">
        <f t="shared" si="424"/>
        <v>46098</v>
      </c>
      <c r="GP10" s="18">
        <f t="shared" si="424"/>
        <v>46099</v>
      </c>
      <c r="GQ10" s="18">
        <f t="shared" si="424"/>
        <v>46100</v>
      </c>
      <c r="GR10" s="18">
        <f t="shared" si="424"/>
        <v>46101</v>
      </c>
      <c r="GS10" s="18">
        <f t="shared" si="424"/>
        <v>46102</v>
      </c>
      <c r="GT10" s="18">
        <f t="shared" si="424"/>
        <v>46103</v>
      </c>
      <c r="GU10" s="18">
        <f t="shared" si="424"/>
        <v>46104</v>
      </c>
      <c r="GV10" s="18">
        <f t="shared" si="424"/>
        <v>46105</v>
      </c>
      <c r="GW10" s="18">
        <f t="shared" si="424"/>
        <v>46106</v>
      </c>
      <c r="GX10" s="18">
        <f t="shared" si="424"/>
        <v>46107</v>
      </c>
      <c r="GY10" s="18">
        <f t="shared" si="424"/>
        <v>46108</v>
      </c>
      <c r="GZ10" s="18">
        <f t="shared" ref="GZ10:JK10" si="425">GY10+1</f>
        <v>46109</v>
      </c>
      <c r="HA10" s="18">
        <f t="shared" si="425"/>
        <v>46110</v>
      </c>
      <c r="HB10" s="18">
        <f t="shared" si="425"/>
        <v>46111</v>
      </c>
      <c r="HC10" s="18">
        <f t="shared" si="425"/>
        <v>46112</v>
      </c>
      <c r="HD10" s="18">
        <f t="shared" si="425"/>
        <v>46113</v>
      </c>
      <c r="HE10" s="18">
        <f t="shared" si="425"/>
        <v>46114</v>
      </c>
      <c r="HF10" s="18">
        <f t="shared" si="425"/>
        <v>46115</v>
      </c>
      <c r="HG10" s="18">
        <f t="shared" si="425"/>
        <v>46116</v>
      </c>
      <c r="HH10" s="18">
        <f t="shared" si="425"/>
        <v>46117</v>
      </c>
      <c r="HI10" s="18">
        <f t="shared" si="425"/>
        <v>46118</v>
      </c>
      <c r="HJ10" s="18">
        <f t="shared" si="425"/>
        <v>46119</v>
      </c>
      <c r="HK10" s="18">
        <f t="shared" si="425"/>
        <v>46120</v>
      </c>
      <c r="HL10" s="18">
        <f t="shared" si="425"/>
        <v>46121</v>
      </c>
      <c r="HM10" s="18">
        <f t="shared" si="425"/>
        <v>46122</v>
      </c>
      <c r="HN10" s="18">
        <f t="shared" si="425"/>
        <v>46123</v>
      </c>
      <c r="HO10" s="18">
        <f t="shared" si="425"/>
        <v>46124</v>
      </c>
      <c r="HP10" s="18">
        <f t="shared" si="425"/>
        <v>46125</v>
      </c>
      <c r="HQ10" s="18">
        <f t="shared" si="425"/>
        <v>46126</v>
      </c>
      <c r="HR10" s="18">
        <f t="shared" si="425"/>
        <v>46127</v>
      </c>
      <c r="HS10" s="18">
        <f t="shared" si="425"/>
        <v>46128</v>
      </c>
      <c r="HT10" s="18">
        <f t="shared" si="425"/>
        <v>46129</v>
      </c>
      <c r="HU10" s="18">
        <f t="shared" si="425"/>
        <v>46130</v>
      </c>
      <c r="HV10" s="18">
        <f t="shared" si="425"/>
        <v>46131</v>
      </c>
      <c r="HW10" s="18">
        <f t="shared" si="425"/>
        <v>46132</v>
      </c>
      <c r="HX10" s="18">
        <f t="shared" si="425"/>
        <v>46133</v>
      </c>
      <c r="HY10" s="18">
        <f t="shared" si="425"/>
        <v>46134</v>
      </c>
      <c r="HZ10" s="18">
        <f t="shared" si="425"/>
        <v>46135</v>
      </c>
      <c r="IA10" s="18">
        <f t="shared" si="425"/>
        <v>46136</v>
      </c>
      <c r="IB10" s="18">
        <f t="shared" si="425"/>
        <v>46137</v>
      </c>
      <c r="IC10" s="18">
        <f t="shared" si="425"/>
        <v>46138</v>
      </c>
      <c r="ID10" s="18">
        <f t="shared" si="425"/>
        <v>46139</v>
      </c>
      <c r="IE10" s="18">
        <f t="shared" si="425"/>
        <v>46140</v>
      </c>
      <c r="IF10" s="18">
        <f t="shared" si="425"/>
        <v>46141</v>
      </c>
      <c r="IG10" s="18">
        <f t="shared" si="425"/>
        <v>46142</v>
      </c>
      <c r="IH10" s="18">
        <f t="shared" si="425"/>
        <v>46143</v>
      </c>
      <c r="II10" s="18">
        <f t="shared" si="425"/>
        <v>46144</v>
      </c>
      <c r="IJ10" s="18">
        <f t="shared" si="425"/>
        <v>46145</v>
      </c>
      <c r="IK10" s="18">
        <f t="shared" si="425"/>
        <v>46146</v>
      </c>
      <c r="IL10" s="18">
        <f t="shared" si="425"/>
        <v>46147</v>
      </c>
      <c r="IM10" s="18">
        <f t="shared" si="425"/>
        <v>46148</v>
      </c>
      <c r="IN10" s="18">
        <f t="shared" si="425"/>
        <v>46149</v>
      </c>
      <c r="IO10" s="18">
        <f t="shared" si="425"/>
        <v>46150</v>
      </c>
      <c r="IP10" s="18">
        <f t="shared" si="425"/>
        <v>46151</v>
      </c>
      <c r="IQ10" s="18">
        <f t="shared" si="425"/>
        <v>46152</v>
      </c>
      <c r="IR10" s="18">
        <f t="shared" si="425"/>
        <v>46153</v>
      </c>
      <c r="IS10" s="18">
        <f t="shared" si="425"/>
        <v>46154</v>
      </c>
      <c r="IT10" s="18">
        <f t="shared" si="425"/>
        <v>46155</v>
      </c>
      <c r="IU10" s="18">
        <f t="shared" si="425"/>
        <v>46156</v>
      </c>
      <c r="IV10" s="18">
        <f t="shared" si="425"/>
        <v>46157</v>
      </c>
      <c r="IW10" s="18">
        <f t="shared" si="425"/>
        <v>46158</v>
      </c>
      <c r="IX10" s="18">
        <f t="shared" si="425"/>
        <v>46159</v>
      </c>
      <c r="IY10" s="18">
        <f t="shared" si="425"/>
        <v>46160</v>
      </c>
      <c r="IZ10" s="18">
        <f t="shared" si="425"/>
        <v>46161</v>
      </c>
      <c r="JA10" s="18">
        <f t="shared" si="425"/>
        <v>46162</v>
      </c>
      <c r="JB10" s="18">
        <f t="shared" si="425"/>
        <v>46163</v>
      </c>
      <c r="JC10" s="18">
        <f t="shared" si="425"/>
        <v>46164</v>
      </c>
      <c r="JD10" s="18">
        <f t="shared" si="425"/>
        <v>46165</v>
      </c>
      <c r="JE10" s="18">
        <f t="shared" si="425"/>
        <v>46166</v>
      </c>
      <c r="JF10" s="18">
        <f t="shared" si="425"/>
        <v>46167</v>
      </c>
      <c r="JG10" s="18">
        <f t="shared" si="425"/>
        <v>46168</v>
      </c>
      <c r="JH10" s="18">
        <f t="shared" si="425"/>
        <v>46169</v>
      </c>
      <c r="JI10" s="18">
        <f t="shared" si="425"/>
        <v>46170</v>
      </c>
      <c r="JJ10" s="18">
        <f t="shared" si="425"/>
        <v>46171</v>
      </c>
      <c r="JK10" s="18">
        <f t="shared" si="425"/>
        <v>46172</v>
      </c>
      <c r="JL10" s="18">
        <f t="shared" ref="JL10:LW10" si="426">JK10+1</f>
        <v>46173</v>
      </c>
      <c r="JM10" s="18">
        <f t="shared" si="426"/>
        <v>46174</v>
      </c>
      <c r="JN10" s="18">
        <f t="shared" si="426"/>
        <v>46175</v>
      </c>
      <c r="JO10" s="18">
        <f t="shared" si="426"/>
        <v>46176</v>
      </c>
      <c r="JP10" s="18">
        <f t="shared" si="426"/>
        <v>46177</v>
      </c>
      <c r="JQ10" s="18">
        <f t="shared" si="426"/>
        <v>46178</v>
      </c>
      <c r="JR10" s="18">
        <f t="shared" si="426"/>
        <v>46179</v>
      </c>
      <c r="JS10" s="18">
        <f t="shared" si="426"/>
        <v>46180</v>
      </c>
      <c r="JT10" s="18">
        <f t="shared" si="426"/>
        <v>46181</v>
      </c>
      <c r="JU10" s="18">
        <f t="shared" si="426"/>
        <v>46182</v>
      </c>
      <c r="JV10" s="18">
        <f t="shared" si="426"/>
        <v>46183</v>
      </c>
      <c r="JW10" s="18">
        <f t="shared" si="426"/>
        <v>46184</v>
      </c>
      <c r="JX10" s="18">
        <f t="shared" si="426"/>
        <v>46185</v>
      </c>
      <c r="JY10" s="18">
        <f t="shared" si="426"/>
        <v>46186</v>
      </c>
      <c r="JZ10" s="18">
        <f t="shared" si="426"/>
        <v>46187</v>
      </c>
      <c r="KA10" s="18">
        <f t="shared" si="426"/>
        <v>46188</v>
      </c>
      <c r="KB10" s="18">
        <f t="shared" si="426"/>
        <v>46189</v>
      </c>
      <c r="KC10" s="18">
        <f t="shared" si="426"/>
        <v>46190</v>
      </c>
      <c r="KD10" s="18">
        <f t="shared" si="426"/>
        <v>46191</v>
      </c>
      <c r="KE10" s="18">
        <f t="shared" si="426"/>
        <v>46192</v>
      </c>
      <c r="KF10" s="18">
        <f t="shared" si="426"/>
        <v>46193</v>
      </c>
      <c r="KG10" s="18">
        <f t="shared" si="426"/>
        <v>46194</v>
      </c>
      <c r="KH10" s="18">
        <f t="shared" si="426"/>
        <v>46195</v>
      </c>
      <c r="KI10" s="18">
        <f t="shared" si="426"/>
        <v>46196</v>
      </c>
      <c r="KJ10" s="18">
        <f t="shared" si="426"/>
        <v>46197</v>
      </c>
      <c r="KK10" s="18">
        <f t="shared" si="426"/>
        <v>46198</v>
      </c>
      <c r="KL10" s="18">
        <f t="shared" si="426"/>
        <v>46199</v>
      </c>
      <c r="KM10" s="18">
        <f t="shared" si="426"/>
        <v>46200</v>
      </c>
      <c r="KN10" s="18">
        <f t="shared" si="426"/>
        <v>46201</v>
      </c>
      <c r="KO10" s="18">
        <f t="shared" si="426"/>
        <v>46202</v>
      </c>
      <c r="KP10" s="18">
        <f t="shared" si="426"/>
        <v>46203</v>
      </c>
      <c r="KQ10" s="18">
        <f t="shared" si="426"/>
        <v>46204</v>
      </c>
      <c r="KR10" s="18">
        <f t="shared" si="426"/>
        <v>46205</v>
      </c>
      <c r="KS10" s="18">
        <f t="shared" si="426"/>
        <v>46206</v>
      </c>
      <c r="KT10" s="18">
        <f t="shared" si="426"/>
        <v>46207</v>
      </c>
      <c r="KU10" s="18">
        <f t="shared" si="426"/>
        <v>46208</v>
      </c>
      <c r="KV10" s="18">
        <f t="shared" si="426"/>
        <v>46209</v>
      </c>
      <c r="KW10" s="18">
        <f t="shared" si="426"/>
        <v>46210</v>
      </c>
      <c r="KX10" s="18">
        <f t="shared" si="426"/>
        <v>46211</v>
      </c>
      <c r="KY10" s="18">
        <f t="shared" si="426"/>
        <v>46212</v>
      </c>
      <c r="KZ10" s="18">
        <f t="shared" si="426"/>
        <v>46213</v>
      </c>
      <c r="LA10" s="18">
        <f t="shared" si="426"/>
        <v>46214</v>
      </c>
      <c r="LB10" s="18">
        <f t="shared" si="426"/>
        <v>46215</v>
      </c>
      <c r="LC10" s="18">
        <f t="shared" si="426"/>
        <v>46216</v>
      </c>
      <c r="LD10" s="18">
        <f t="shared" si="426"/>
        <v>46217</v>
      </c>
      <c r="LE10" s="18">
        <f t="shared" si="426"/>
        <v>46218</v>
      </c>
      <c r="LF10" s="18">
        <f t="shared" si="426"/>
        <v>46219</v>
      </c>
      <c r="LG10" s="18">
        <f t="shared" si="426"/>
        <v>46220</v>
      </c>
      <c r="LH10" s="18">
        <f t="shared" si="426"/>
        <v>46221</v>
      </c>
      <c r="LI10" s="18">
        <f t="shared" si="426"/>
        <v>46222</v>
      </c>
      <c r="LJ10" s="18">
        <f t="shared" si="426"/>
        <v>46223</v>
      </c>
      <c r="LK10" s="18">
        <f t="shared" si="426"/>
        <v>46224</v>
      </c>
      <c r="LL10" s="18">
        <f t="shared" si="426"/>
        <v>46225</v>
      </c>
      <c r="LM10" s="18">
        <f t="shared" si="426"/>
        <v>46226</v>
      </c>
      <c r="LN10" s="18">
        <f t="shared" si="426"/>
        <v>46227</v>
      </c>
      <c r="LO10" s="18">
        <f t="shared" si="426"/>
        <v>46228</v>
      </c>
      <c r="LP10" s="18">
        <f t="shared" si="426"/>
        <v>46229</v>
      </c>
      <c r="LQ10" s="18">
        <f t="shared" si="426"/>
        <v>46230</v>
      </c>
      <c r="LR10" s="18">
        <f t="shared" si="426"/>
        <v>46231</v>
      </c>
      <c r="LS10" s="18">
        <f t="shared" si="426"/>
        <v>46232</v>
      </c>
      <c r="LT10" s="18">
        <f t="shared" si="426"/>
        <v>46233</v>
      </c>
      <c r="LU10" s="18">
        <f t="shared" si="426"/>
        <v>46234</v>
      </c>
      <c r="LV10" s="18">
        <f t="shared" si="426"/>
        <v>46235</v>
      </c>
      <c r="LW10" s="18">
        <f t="shared" si="426"/>
        <v>46236</v>
      </c>
      <c r="LX10" s="18">
        <f t="shared" ref="LX10:OI10" si="427">LW10+1</f>
        <v>46237</v>
      </c>
      <c r="LY10" s="18">
        <f t="shared" si="427"/>
        <v>46238</v>
      </c>
      <c r="LZ10" s="18">
        <f t="shared" si="427"/>
        <v>46239</v>
      </c>
      <c r="MA10" s="18">
        <f t="shared" si="427"/>
        <v>46240</v>
      </c>
      <c r="MB10" s="18">
        <f t="shared" si="427"/>
        <v>46241</v>
      </c>
      <c r="MC10" s="18">
        <f t="shared" si="427"/>
        <v>46242</v>
      </c>
      <c r="MD10" s="18">
        <f t="shared" si="427"/>
        <v>46243</v>
      </c>
      <c r="ME10" s="18">
        <f t="shared" si="427"/>
        <v>46244</v>
      </c>
      <c r="MF10" s="18">
        <f t="shared" si="427"/>
        <v>46245</v>
      </c>
      <c r="MG10" s="18">
        <f t="shared" si="427"/>
        <v>46246</v>
      </c>
      <c r="MH10" s="18">
        <f t="shared" si="427"/>
        <v>46247</v>
      </c>
      <c r="MI10" s="18">
        <f t="shared" si="427"/>
        <v>46248</v>
      </c>
      <c r="MJ10" s="18">
        <f t="shared" si="427"/>
        <v>46249</v>
      </c>
      <c r="MK10" s="18">
        <f t="shared" si="427"/>
        <v>46250</v>
      </c>
      <c r="ML10" s="18">
        <f t="shared" si="427"/>
        <v>46251</v>
      </c>
      <c r="MM10" s="18">
        <f t="shared" si="427"/>
        <v>46252</v>
      </c>
      <c r="MN10" s="18">
        <f t="shared" si="427"/>
        <v>46253</v>
      </c>
      <c r="MO10" s="18">
        <f t="shared" si="427"/>
        <v>46254</v>
      </c>
      <c r="MP10" s="18">
        <f t="shared" si="427"/>
        <v>46255</v>
      </c>
      <c r="MQ10" s="18">
        <f t="shared" si="427"/>
        <v>46256</v>
      </c>
      <c r="MR10" s="18">
        <f t="shared" si="427"/>
        <v>46257</v>
      </c>
      <c r="MS10" s="18">
        <f t="shared" si="427"/>
        <v>46258</v>
      </c>
      <c r="MT10" s="18">
        <f t="shared" si="427"/>
        <v>46259</v>
      </c>
      <c r="MU10" s="18">
        <f t="shared" si="427"/>
        <v>46260</v>
      </c>
      <c r="MV10" s="18">
        <f t="shared" si="427"/>
        <v>46261</v>
      </c>
      <c r="MW10" s="18">
        <f t="shared" si="427"/>
        <v>46262</v>
      </c>
      <c r="MX10" s="18">
        <f t="shared" si="427"/>
        <v>46263</v>
      </c>
      <c r="MY10" s="18">
        <f t="shared" si="427"/>
        <v>46264</v>
      </c>
      <c r="MZ10" s="18">
        <f t="shared" si="427"/>
        <v>46265</v>
      </c>
      <c r="NA10" s="18">
        <f t="shared" si="427"/>
        <v>46266</v>
      </c>
      <c r="NB10" s="18">
        <f t="shared" si="427"/>
        <v>46267</v>
      </c>
      <c r="NC10" s="18">
        <f t="shared" si="427"/>
        <v>46268</v>
      </c>
      <c r="ND10" s="18">
        <f t="shared" si="427"/>
        <v>46269</v>
      </c>
      <c r="NE10" s="18">
        <f t="shared" si="427"/>
        <v>46270</v>
      </c>
      <c r="NF10" s="18">
        <f t="shared" si="427"/>
        <v>46271</v>
      </c>
      <c r="NG10" s="18">
        <f t="shared" si="427"/>
        <v>46272</v>
      </c>
      <c r="NH10" s="18">
        <f t="shared" si="427"/>
        <v>46273</v>
      </c>
      <c r="NI10" s="18">
        <f t="shared" si="427"/>
        <v>46274</v>
      </c>
      <c r="NJ10" s="18">
        <f t="shared" si="427"/>
        <v>46275</v>
      </c>
      <c r="NK10" s="18">
        <f t="shared" si="427"/>
        <v>46276</v>
      </c>
      <c r="NL10" s="18">
        <f t="shared" si="427"/>
        <v>46277</v>
      </c>
      <c r="NM10" s="18">
        <f t="shared" si="427"/>
        <v>46278</v>
      </c>
      <c r="NN10" s="18">
        <f t="shared" si="427"/>
        <v>46279</v>
      </c>
      <c r="NO10" s="18">
        <f t="shared" si="427"/>
        <v>46280</v>
      </c>
      <c r="NP10" s="18">
        <f t="shared" si="427"/>
        <v>46281</v>
      </c>
      <c r="NQ10" s="18">
        <f t="shared" si="427"/>
        <v>46282</v>
      </c>
      <c r="NR10" s="18">
        <f t="shared" si="427"/>
        <v>46283</v>
      </c>
      <c r="NS10" s="18">
        <f t="shared" si="427"/>
        <v>46284</v>
      </c>
      <c r="NT10" s="18">
        <f t="shared" si="427"/>
        <v>46285</v>
      </c>
      <c r="NU10" s="18">
        <f t="shared" si="427"/>
        <v>46286</v>
      </c>
      <c r="NV10" s="18">
        <f t="shared" si="427"/>
        <v>46287</v>
      </c>
      <c r="NW10" s="18">
        <f t="shared" si="427"/>
        <v>46288</v>
      </c>
      <c r="NX10" s="18">
        <f t="shared" si="427"/>
        <v>46289</v>
      </c>
      <c r="NY10" s="18">
        <f t="shared" si="427"/>
        <v>46290</v>
      </c>
      <c r="NZ10" s="18">
        <f t="shared" si="427"/>
        <v>46291</v>
      </c>
      <c r="OA10" s="18">
        <f t="shared" si="427"/>
        <v>46292</v>
      </c>
      <c r="OB10" s="18">
        <f t="shared" si="427"/>
        <v>46293</v>
      </c>
      <c r="OC10" s="18">
        <f t="shared" si="427"/>
        <v>46294</v>
      </c>
      <c r="OD10" s="18">
        <f t="shared" si="427"/>
        <v>46295</v>
      </c>
      <c r="OE10" s="18">
        <f t="shared" si="427"/>
        <v>46296</v>
      </c>
      <c r="OF10" s="18">
        <f t="shared" si="427"/>
        <v>46297</v>
      </c>
      <c r="OG10" s="18">
        <f t="shared" si="427"/>
        <v>46298</v>
      </c>
      <c r="OH10" s="18">
        <f t="shared" si="427"/>
        <v>46299</v>
      </c>
      <c r="OI10" s="18">
        <f t="shared" si="427"/>
        <v>46300</v>
      </c>
      <c r="OJ10" s="18">
        <f t="shared" ref="OJ10:PR10" si="428">OI10+1</f>
        <v>46301</v>
      </c>
      <c r="OK10" s="18">
        <f t="shared" si="428"/>
        <v>46302</v>
      </c>
      <c r="OL10" s="18">
        <f t="shared" si="428"/>
        <v>46303</v>
      </c>
      <c r="OM10" s="18">
        <f t="shared" si="428"/>
        <v>46304</v>
      </c>
      <c r="ON10" s="18">
        <f t="shared" si="428"/>
        <v>46305</v>
      </c>
      <c r="OO10" s="18">
        <f t="shared" si="428"/>
        <v>46306</v>
      </c>
      <c r="OP10" s="18">
        <f t="shared" si="428"/>
        <v>46307</v>
      </c>
      <c r="OQ10" s="18">
        <f t="shared" si="428"/>
        <v>46308</v>
      </c>
      <c r="OR10" s="18">
        <f t="shared" si="428"/>
        <v>46309</v>
      </c>
      <c r="OS10" s="18">
        <f t="shared" si="428"/>
        <v>46310</v>
      </c>
      <c r="OT10" s="18">
        <f t="shared" si="428"/>
        <v>46311</v>
      </c>
      <c r="OU10" s="18">
        <f t="shared" si="428"/>
        <v>46312</v>
      </c>
      <c r="OV10" s="18">
        <f t="shared" si="428"/>
        <v>46313</v>
      </c>
      <c r="OW10" s="18">
        <f t="shared" si="428"/>
        <v>46314</v>
      </c>
      <c r="OX10" s="18">
        <f t="shared" si="428"/>
        <v>46315</v>
      </c>
      <c r="OY10" s="18">
        <f t="shared" si="428"/>
        <v>46316</v>
      </c>
      <c r="OZ10" s="18">
        <f t="shared" si="428"/>
        <v>46317</v>
      </c>
      <c r="PA10" s="18">
        <f t="shared" si="428"/>
        <v>46318</v>
      </c>
      <c r="PB10" s="18">
        <f t="shared" si="428"/>
        <v>46319</v>
      </c>
      <c r="PC10" s="18">
        <f t="shared" si="428"/>
        <v>46320</v>
      </c>
      <c r="PD10" s="18">
        <f t="shared" si="428"/>
        <v>46321</v>
      </c>
      <c r="PE10" s="18">
        <f t="shared" si="428"/>
        <v>46322</v>
      </c>
      <c r="PF10" s="18">
        <f t="shared" si="428"/>
        <v>46323</v>
      </c>
      <c r="PG10" s="18">
        <f t="shared" si="428"/>
        <v>46324</v>
      </c>
      <c r="PH10" s="18">
        <f t="shared" si="428"/>
        <v>46325</v>
      </c>
      <c r="PI10" s="18">
        <f t="shared" si="428"/>
        <v>46326</v>
      </c>
      <c r="PJ10" s="18">
        <f t="shared" si="428"/>
        <v>46327</v>
      </c>
      <c r="PK10" s="18">
        <f t="shared" si="428"/>
        <v>46328</v>
      </c>
      <c r="PL10" s="18">
        <f t="shared" si="428"/>
        <v>46329</v>
      </c>
      <c r="PM10" s="18">
        <f t="shared" si="428"/>
        <v>46330</v>
      </c>
      <c r="PN10" s="18">
        <f t="shared" si="428"/>
        <v>46331</v>
      </c>
      <c r="PO10" s="18">
        <f t="shared" si="428"/>
        <v>46332</v>
      </c>
      <c r="PP10" s="18">
        <f t="shared" si="428"/>
        <v>46333</v>
      </c>
      <c r="PQ10" s="18">
        <f t="shared" si="428"/>
        <v>46334</v>
      </c>
      <c r="PR10" s="18">
        <f t="shared" si="428"/>
        <v>46335</v>
      </c>
    </row>
    <row r="11" spans="1:434" s="26" customFormat="1" ht="21" customHeight="1">
      <c r="A11" s="20" t="s">
        <v>17</v>
      </c>
      <c r="B11" s="21">
        <v>1</v>
      </c>
      <c r="C11" s="22" t="s">
        <v>3</v>
      </c>
      <c r="D11" s="23" t="s">
        <v>27</v>
      </c>
      <c r="E11" s="24"/>
      <c r="F11" s="24"/>
      <c r="G11" s="24"/>
      <c r="H11" s="24"/>
      <c r="I11" s="61" t="str">
        <f>IF(MIN(I12:I21)&gt;0,MIN(I12:I21),"")</f>
        <v/>
      </c>
      <c r="J11" s="25" t="e">
        <f>NETWORKDAYS.INTL(I11,K11,1,parametre!C5:C18)</f>
        <v>#VALUE!</v>
      </c>
      <c r="K11" s="61" t="str">
        <f>IF(MAX(K12:K21)&gt;0,MAX(K12:K21),"")</f>
        <v/>
      </c>
      <c r="L11" s="38">
        <f>AVERAGE(L13,L15,L17,L19,L21)</f>
        <v>0</v>
      </c>
      <c r="M11" s="57" t="e">
        <f>I11+L11*(K11-I11)</f>
        <v>#VALUE!</v>
      </c>
      <c r="N11" s="46"/>
      <c r="O11" s="47"/>
      <c r="P11" s="48"/>
      <c r="Q11" s="48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9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</row>
    <row r="12" spans="1:434" ht="17.25" customHeight="1" outlineLevel="1">
      <c r="A12" s="6" t="s">
        <v>17</v>
      </c>
      <c r="B12" s="64">
        <v>1.1000000000000001</v>
      </c>
      <c r="C12" s="65" t="s">
        <v>1</v>
      </c>
      <c r="D12" s="66"/>
      <c r="E12" s="66"/>
      <c r="F12" s="66"/>
      <c r="G12" s="66"/>
      <c r="H12" s="66"/>
      <c r="I12" s="62"/>
      <c r="J12" s="10"/>
      <c r="K12" s="62">
        <f>WORKDAY.INTL(I12,J12,1,parametre!C$2:C$18)</f>
        <v>0</v>
      </c>
      <c r="L12" s="37">
        <v>0</v>
      </c>
      <c r="M12" s="62">
        <f>I12+L12*(K12-I12)</f>
        <v>0</v>
      </c>
      <c r="N12" s="51"/>
      <c r="O12" s="52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4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/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/>
      <c r="JW12" s="55"/>
      <c r="JX12" s="55"/>
      <c r="JY12" s="55"/>
      <c r="JZ12" s="55"/>
      <c r="KA12" s="55"/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5"/>
      <c r="LG12" s="55"/>
      <c r="LH12" s="55"/>
      <c r="LI12" s="55"/>
      <c r="LJ12" s="55"/>
      <c r="LK12" s="55"/>
      <c r="LL12" s="55"/>
      <c r="LM12" s="55"/>
      <c r="LN12" s="55"/>
      <c r="LO12" s="55"/>
      <c r="LP12" s="55"/>
      <c r="LQ12" s="55"/>
      <c r="LR12" s="55"/>
      <c r="LS12" s="55"/>
      <c r="LT12" s="55"/>
      <c r="LU12" s="55"/>
      <c r="LV12" s="55"/>
      <c r="LW12" s="55"/>
      <c r="LX12" s="55"/>
      <c r="LY12" s="55"/>
      <c r="LZ12" s="55"/>
      <c r="MA12" s="55"/>
      <c r="MB12" s="55"/>
      <c r="MC12" s="55"/>
      <c r="MD12" s="55"/>
      <c r="ME12" s="55"/>
      <c r="MF12" s="55"/>
      <c r="MG12" s="55"/>
      <c r="MH12" s="55"/>
      <c r="MI12" s="55"/>
      <c r="MJ12" s="55"/>
      <c r="MK12" s="55"/>
      <c r="ML12" s="55"/>
      <c r="MM12" s="55"/>
      <c r="MN12" s="55"/>
      <c r="MO12" s="55"/>
      <c r="MP12" s="55"/>
      <c r="MQ12" s="55"/>
      <c r="MR12" s="55"/>
      <c r="MS12" s="55"/>
      <c r="MT12" s="55"/>
      <c r="MU12" s="55"/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  <c r="NP12" s="55"/>
      <c r="NQ12" s="55"/>
      <c r="NR12" s="55"/>
      <c r="NS12" s="55"/>
      <c r="NT12" s="55"/>
      <c r="NU12" s="55"/>
      <c r="NV12" s="55"/>
      <c r="NW12" s="55"/>
      <c r="NX12" s="55"/>
      <c r="NY12" s="55"/>
      <c r="NZ12" s="55"/>
      <c r="OA12" s="55"/>
      <c r="OB12" s="55"/>
      <c r="OC12" s="55"/>
      <c r="OD12" s="55"/>
      <c r="OE12" s="55"/>
      <c r="OF12" s="55"/>
      <c r="OG12" s="55"/>
      <c r="OH12" s="55"/>
      <c r="OI12" s="55"/>
      <c r="OJ12" s="55"/>
      <c r="OK12" s="55"/>
      <c r="OL12" s="55"/>
      <c r="OM12" s="55"/>
      <c r="ON12" s="55"/>
      <c r="OO12" s="55"/>
      <c r="OP12" s="55"/>
      <c r="OQ12" s="55"/>
      <c r="OR12" s="55"/>
      <c r="OS12" s="55"/>
      <c r="OT12" s="55"/>
      <c r="OU12" s="55"/>
      <c r="OV12" s="55"/>
      <c r="OW12" s="55"/>
      <c r="OX12" s="55"/>
      <c r="OY12" s="55"/>
      <c r="OZ12" s="55"/>
      <c r="PA12" s="55"/>
      <c r="PB12" s="55"/>
      <c r="PC12" s="55"/>
      <c r="PD12" s="55"/>
      <c r="PE12" s="55"/>
      <c r="PF12" s="55"/>
      <c r="PG12" s="55"/>
      <c r="PH12" s="55"/>
      <c r="PI12" s="55"/>
      <c r="PJ12" s="55"/>
      <c r="PK12" s="55"/>
      <c r="PL12" s="55"/>
      <c r="PM12" s="55"/>
      <c r="PN12" s="55"/>
      <c r="PO12" s="55"/>
      <c r="PP12" s="55"/>
      <c r="PQ12" s="55"/>
      <c r="PR12" s="55"/>
    </row>
    <row r="13" spans="1:434" ht="17.25" customHeight="1" outlineLevel="1">
      <c r="A13" s="6" t="s">
        <v>17</v>
      </c>
      <c r="B13" s="64">
        <v>1.1000000000000001</v>
      </c>
      <c r="C13" s="67" t="s">
        <v>2</v>
      </c>
      <c r="D13" s="66"/>
      <c r="E13" s="66"/>
      <c r="F13" s="66"/>
      <c r="G13" s="66"/>
      <c r="H13" s="66"/>
      <c r="I13" s="62"/>
      <c r="J13" s="10"/>
      <c r="K13" s="62">
        <f>WORKDAY.INTL(I13,J13,1,parametre!C$2:C$18)</f>
        <v>0</v>
      </c>
      <c r="L13" s="37">
        <v>0</v>
      </c>
      <c r="M13" s="62">
        <f t="shared" ref="M13:M22" si="429">I13+L13*(K13-I13)</f>
        <v>0</v>
      </c>
      <c r="N13" s="51"/>
      <c r="O13" s="52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4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</row>
    <row r="14" spans="1:434" ht="17.25" customHeight="1" outlineLevel="1">
      <c r="A14" s="6" t="s">
        <v>17</v>
      </c>
      <c r="B14" s="64">
        <v>1.2</v>
      </c>
      <c r="C14" s="67" t="s">
        <v>1</v>
      </c>
      <c r="D14" s="66"/>
      <c r="E14" s="66"/>
      <c r="F14" s="66"/>
      <c r="G14" s="66"/>
      <c r="H14" s="66"/>
      <c r="I14" s="62"/>
      <c r="J14" s="10"/>
      <c r="K14" s="62">
        <f>WORKDAY.INTL(I14,J14,1,parametre!C$2:C$18)</f>
        <v>0</v>
      </c>
      <c r="L14" s="37">
        <v>0</v>
      </c>
      <c r="M14" s="62">
        <f t="shared" ref="M14" si="430">I14+L14*(K14-I14)</f>
        <v>0</v>
      </c>
      <c r="N14" s="51"/>
      <c r="O14" s="52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4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</row>
    <row r="15" spans="1:434" ht="17.25" customHeight="1" outlineLevel="1">
      <c r="A15" s="6" t="s">
        <v>17</v>
      </c>
      <c r="B15" s="64">
        <v>1.2</v>
      </c>
      <c r="C15" s="67" t="s">
        <v>2</v>
      </c>
      <c r="D15" s="66"/>
      <c r="E15" s="66"/>
      <c r="F15" s="66"/>
      <c r="G15" s="66"/>
      <c r="H15" s="66"/>
      <c r="I15" s="62"/>
      <c r="J15" s="10"/>
      <c r="K15" s="62">
        <f>WORKDAY.INTL(I15,J15,1,parametre!C$2:C$18)</f>
        <v>0</v>
      </c>
      <c r="L15" s="37">
        <v>0</v>
      </c>
      <c r="M15" s="62">
        <f t="shared" si="429"/>
        <v>0</v>
      </c>
      <c r="N15" s="51"/>
      <c r="O15" s="52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4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55"/>
      <c r="IK15" s="55"/>
      <c r="IL15" s="55"/>
      <c r="IM15" s="55"/>
      <c r="IN15" s="55"/>
      <c r="IO15" s="55"/>
      <c r="IP15" s="55"/>
      <c r="IQ15" s="55"/>
      <c r="IR15" s="55"/>
      <c r="IS15" s="55"/>
      <c r="IT15" s="55"/>
      <c r="IU15" s="55"/>
      <c r="IV15" s="55"/>
      <c r="IW15" s="55"/>
      <c r="IX15" s="55"/>
      <c r="IY15" s="55"/>
      <c r="IZ15" s="55"/>
      <c r="JA15" s="55"/>
      <c r="JB15" s="55"/>
      <c r="JC15" s="55"/>
      <c r="JD15" s="55"/>
      <c r="JE15" s="55"/>
      <c r="JF15" s="55"/>
      <c r="JG15" s="55"/>
      <c r="JH15" s="55"/>
      <c r="JI15" s="55"/>
      <c r="JJ15" s="55"/>
      <c r="JK15" s="55"/>
      <c r="JL15" s="55"/>
      <c r="JM15" s="55"/>
      <c r="JN15" s="55"/>
      <c r="JO15" s="55"/>
      <c r="JP15" s="55"/>
      <c r="JQ15" s="55"/>
      <c r="JR15" s="55"/>
      <c r="JS15" s="55"/>
      <c r="JT15" s="55"/>
      <c r="JU15" s="55"/>
      <c r="JV15" s="55"/>
      <c r="JW15" s="55"/>
      <c r="JX15" s="55"/>
      <c r="JY15" s="55"/>
      <c r="JZ15" s="55"/>
      <c r="KA15" s="55"/>
      <c r="KB15" s="55"/>
      <c r="KC15" s="55"/>
      <c r="KD15" s="55"/>
      <c r="KE15" s="55"/>
      <c r="KF15" s="55"/>
      <c r="KG15" s="55"/>
      <c r="KH15" s="55"/>
      <c r="KI15" s="55"/>
      <c r="KJ15" s="55"/>
      <c r="KK15" s="55"/>
      <c r="KL15" s="55"/>
      <c r="KM15" s="55"/>
      <c r="KN15" s="55"/>
      <c r="KO15" s="55"/>
      <c r="KP15" s="55"/>
      <c r="KQ15" s="55"/>
      <c r="KR15" s="55"/>
      <c r="KS15" s="55"/>
      <c r="KT15" s="55"/>
      <c r="KU15" s="55"/>
      <c r="KV15" s="55"/>
      <c r="KW15" s="55"/>
      <c r="KX15" s="55"/>
      <c r="KY15" s="55"/>
      <c r="KZ15" s="55"/>
      <c r="LA15" s="55"/>
      <c r="LB15" s="55"/>
      <c r="LC15" s="55"/>
      <c r="LD15" s="55"/>
      <c r="LE15" s="55"/>
      <c r="LF15" s="55"/>
      <c r="LG15" s="55"/>
      <c r="LH15" s="55"/>
      <c r="LI15" s="55"/>
      <c r="LJ15" s="55"/>
      <c r="LK15" s="55"/>
      <c r="LL15" s="55"/>
      <c r="LM15" s="55"/>
      <c r="LN15" s="55"/>
      <c r="LO15" s="55"/>
      <c r="LP15" s="55"/>
      <c r="LQ15" s="55"/>
      <c r="LR15" s="55"/>
      <c r="LS15" s="55"/>
      <c r="LT15" s="55"/>
      <c r="LU15" s="55"/>
      <c r="LV15" s="55"/>
      <c r="LW15" s="55"/>
      <c r="LX15" s="55"/>
      <c r="LY15" s="55"/>
      <c r="LZ15" s="55"/>
      <c r="MA15" s="55"/>
      <c r="MB15" s="55"/>
      <c r="MC15" s="55"/>
      <c r="MD15" s="55"/>
      <c r="ME15" s="55"/>
      <c r="MF15" s="55"/>
      <c r="MG15" s="55"/>
      <c r="MH15" s="55"/>
      <c r="MI15" s="55"/>
      <c r="MJ15" s="55"/>
      <c r="MK15" s="55"/>
      <c r="ML15" s="55"/>
      <c r="MM15" s="55"/>
      <c r="MN15" s="55"/>
      <c r="MO15" s="55"/>
      <c r="MP15" s="55"/>
      <c r="MQ15" s="55"/>
      <c r="MR15" s="55"/>
      <c r="MS15" s="55"/>
      <c r="MT15" s="55"/>
      <c r="MU15" s="55"/>
      <c r="MV15" s="55"/>
      <c r="MW15" s="55"/>
      <c r="MX15" s="55"/>
      <c r="MY15" s="55"/>
      <c r="MZ15" s="55"/>
      <c r="NA15" s="55"/>
      <c r="NB15" s="55"/>
      <c r="NC15" s="55"/>
      <c r="ND15" s="55"/>
      <c r="NE15" s="55"/>
      <c r="NF15" s="55"/>
      <c r="NG15" s="55"/>
      <c r="NH15" s="55"/>
      <c r="NI15" s="55"/>
      <c r="NJ15" s="55"/>
      <c r="NK15" s="55"/>
      <c r="NL15" s="55"/>
      <c r="NM15" s="55"/>
      <c r="NN15" s="55"/>
      <c r="NO15" s="55"/>
      <c r="NP15" s="55"/>
      <c r="NQ15" s="55"/>
      <c r="NR15" s="55"/>
      <c r="NS15" s="55"/>
      <c r="NT15" s="55"/>
      <c r="NU15" s="55"/>
      <c r="NV15" s="55"/>
      <c r="NW15" s="55"/>
      <c r="NX15" s="55"/>
      <c r="NY15" s="55"/>
      <c r="NZ15" s="55"/>
      <c r="OA15" s="55"/>
      <c r="OB15" s="55"/>
      <c r="OC15" s="55"/>
      <c r="OD15" s="55"/>
      <c r="OE15" s="55"/>
      <c r="OF15" s="55"/>
      <c r="OG15" s="55"/>
      <c r="OH15" s="55"/>
      <c r="OI15" s="55"/>
      <c r="OJ15" s="55"/>
      <c r="OK15" s="55"/>
      <c r="OL15" s="55"/>
      <c r="OM15" s="55"/>
      <c r="ON15" s="55"/>
      <c r="OO15" s="55"/>
      <c r="OP15" s="55"/>
      <c r="OQ15" s="55"/>
      <c r="OR15" s="55"/>
      <c r="OS15" s="55"/>
      <c r="OT15" s="55"/>
      <c r="OU15" s="55"/>
      <c r="OV15" s="55"/>
      <c r="OW15" s="55"/>
      <c r="OX15" s="55"/>
      <c r="OY15" s="55"/>
      <c r="OZ15" s="55"/>
      <c r="PA15" s="55"/>
      <c r="PB15" s="55"/>
      <c r="PC15" s="55"/>
      <c r="PD15" s="55"/>
      <c r="PE15" s="55"/>
      <c r="PF15" s="55"/>
      <c r="PG15" s="55"/>
      <c r="PH15" s="55"/>
      <c r="PI15" s="55"/>
      <c r="PJ15" s="55"/>
      <c r="PK15" s="55"/>
      <c r="PL15" s="55"/>
      <c r="PM15" s="55"/>
      <c r="PN15" s="55"/>
      <c r="PO15" s="55"/>
      <c r="PP15" s="55"/>
      <c r="PQ15" s="55"/>
      <c r="PR15" s="55"/>
    </row>
    <row r="16" spans="1:434" ht="17.25" customHeight="1" outlineLevel="1">
      <c r="A16" s="6" t="s">
        <v>17</v>
      </c>
      <c r="B16" s="64">
        <v>1.3</v>
      </c>
      <c r="C16" s="65" t="s">
        <v>1</v>
      </c>
      <c r="D16" s="66"/>
      <c r="E16" s="66"/>
      <c r="F16" s="66"/>
      <c r="G16" s="66"/>
      <c r="H16" s="66"/>
      <c r="I16" s="62"/>
      <c r="J16" s="10"/>
      <c r="K16" s="62">
        <f>WORKDAY.INTL(I16,J16,1,parametre!C$2:C$18)</f>
        <v>0</v>
      </c>
      <c r="L16" s="37">
        <v>0</v>
      </c>
      <c r="M16" s="62">
        <f t="shared" si="429"/>
        <v>0</v>
      </c>
      <c r="N16" s="51"/>
      <c r="O16" s="52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4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  <c r="FK16" s="55"/>
      <c r="FL16" s="55"/>
      <c r="FM16" s="55"/>
      <c r="FN16" s="55"/>
      <c r="FO16" s="55"/>
      <c r="FP16" s="55"/>
      <c r="FQ16" s="55"/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5"/>
      <c r="JB16" s="55"/>
      <c r="JC16" s="55"/>
      <c r="JD16" s="55"/>
      <c r="JE16" s="55"/>
      <c r="JF16" s="55"/>
      <c r="JG16" s="55"/>
      <c r="JH16" s="55"/>
      <c r="JI16" s="55"/>
      <c r="JJ16" s="55"/>
      <c r="JK16" s="55"/>
      <c r="JL16" s="55"/>
      <c r="JM16" s="55"/>
      <c r="JN16" s="55"/>
      <c r="JO16" s="55"/>
      <c r="JP16" s="55"/>
      <c r="JQ16" s="55"/>
      <c r="JR16" s="55"/>
      <c r="JS16" s="55"/>
      <c r="JT16" s="55"/>
      <c r="JU16" s="55"/>
      <c r="JV16" s="55"/>
      <c r="JW16" s="55"/>
      <c r="JX16" s="55"/>
      <c r="JY16" s="55"/>
      <c r="JZ16" s="55"/>
      <c r="KA16" s="55"/>
      <c r="KB16" s="55"/>
      <c r="KC16" s="55"/>
      <c r="KD16" s="55"/>
      <c r="KE16" s="55"/>
      <c r="KF16" s="55"/>
      <c r="KG16" s="55"/>
      <c r="KH16" s="55"/>
      <c r="KI16" s="55"/>
      <c r="KJ16" s="55"/>
      <c r="KK16" s="55"/>
      <c r="KL16" s="55"/>
      <c r="KM16" s="55"/>
      <c r="KN16" s="55"/>
      <c r="KO16" s="55"/>
      <c r="KP16" s="55"/>
      <c r="KQ16" s="55"/>
      <c r="KR16" s="55"/>
      <c r="KS16" s="55"/>
      <c r="KT16" s="55"/>
      <c r="KU16" s="55"/>
      <c r="KV16" s="55"/>
      <c r="KW16" s="55"/>
      <c r="KX16" s="55"/>
      <c r="KY16" s="55"/>
      <c r="KZ16" s="55"/>
      <c r="LA16" s="55"/>
      <c r="LB16" s="55"/>
      <c r="LC16" s="55"/>
      <c r="LD16" s="55"/>
      <c r="LE16" s="55"/>
      <c r="LF16" s="55"/>
      <c r="LG16" s="55"/>
      <c r="LH16" s="55"/>
      <c r="LI16" s="55"/>
      <c r="LJ16" s="55"/>
      <c r="LK16" s="55"/>
      <c r="LL16" s="55"/>
      <c r="LM16" s="55"/>
      <c r="LN16" s="55"/>
      <c r="LO16" s="55"/>
      <c r="LP16" s="55"/>
      <c r="LQ16" s="55"/>
      <c r="LR16" s="55"/>
      <c r="LS16" s="55"/>
      <c r="LT16" s="55"/>
      <c r="LU16" s="55"/>
      <c r="LV16" s="55"/>
      <c r="LW16" s="55"/>
      <c r="LX16" s="55"/>
      <c r="LY16" s="55"/>
      <c r="LZ16" s="55"/>
      <c r="MA16" s="55"/>
      <c r="MB16" s="55"/>
      <c r="MC16" s="55"/>
      <c r="MD16" s="55"/>
      <c r="ME16" s="55"/>
      <c r="MF16" s="55"/>
      <c r="MG16" s="55"/>
      <c r="MH16" s="55"/>
      <c r="MI16" s="55"/>
      <c r="MJ16" s="55"/>
      <c r="MK16" s="55"/>
      <c r="ML16" s="55"/>
      <c r="MM16" s="55"/>
      <c r="MN16" s="55"/>
      <c r="MO16" s="55"/>
      <c r="MP16" s="55"/>
      <c r="MQ16" s="55"/>
      <c r="MR16" s="55"/>
      <c r="MS16" s="55"/>
      <c r="MT16" s="55"/>
      <c r="MU16" s="55"/>
      <c r="MV16" s="55"/>
      <c r="MW16" s="55"/>
      <c r="MX16" s="55"/>
      <c r="MY16" s="55"/>
      <c r="MZ16" s="55"/>
      <c r="NA16" s="55"/>
      <c r="NB16" s="55"/>
      <c r="NC16" s="55"/>
      <c r="ND16" s="55"/>
      <c r="NE16" s="55"/>
      <c r="NF16" s="55"/>
      <c r="NG16" s="55"/>
      <c r="NH16" s="55"/>
      <c r="NI16" s="55"/>
      <c r="NJ16" s="55"/>
      <c r="NK16" s="55"/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/>
      <c r="NZ16" s="55"/>
      <c r="OA16" s="55"/>
      <c r="OB16" s="55"/>
      <c r="OC16" s="55"/>
      <c r="OD16" s="55"/>
      <c r="OE16" s="55"/>
      <c r="OF16" s="55"/>
      <c r="OG16" s="55"/>
      <c r="OH16" s="55"/>
      <c r="OI16" s="55"/>
      <c r="OJ16" s="55"/>
      <c r="OK16" s="55"/>
      <c r="OL16" s="55"/>
      <c r="OM16" s="55"/>
      <c r="ON16" s="55"/>
      <c r="OO16" s="55"/>
      <c r="OP16" s="55"/>
      <c r="OQ16" s="55"/>
      <c r="OR16" s="55"/>
      <c r="OS16" s="55"/>
      <c r="OT16" s="55"/>
      <c r="OU16" s="55"/>
      <c r="OV16" s="55"/>
      <c r="OW16" s="55"/>
      <c r="OX16" s="55"/>
      <c r="OY16" s="55"/>
      <c r="OZ16" s="55"/>
      <c r="PA16" s="55"/>
      <c r="PB16" s="55"/>
      <c r="PC16" s="55"/>
      <c r="PD16" s="55"/>
      <c r="PE16" s="55"/>
      <c r="PF16" s="55"/>
      <c r="PG16" s="55"/>
      <c r="PH16" s="55"/>
      <c r="PI16" s="55"/>
      <c r="PJ16" s="55"/>
      <c r="PK16" s="55"/>
      <c r="PL16" s="55"/>
      <c r="PM16" s="55"/>
      <c r="PN16" s="55"/>
      <c r="PO16" s="55"/>
      <c r="PP16" s="55"/>
      <c r="PQ16" s="55"/>
      <c r="PR16" s="55"/>
    </row>
    <row r="17" spans="1:434" ht="17.25" customHeight="1" outlineLevel="1">
      <c r="A17" s="6" t="s">
        <v>17</v>
      </c>
      <c r="B17" s="64">
        <v>1.3</v>
      </c>
      <c r="C17" s="65" t="s">
        <v>2</v>
      </c>
      <c r="D17" s="66"/>
      <c r="E17" s="66"/>
      <c r="F17" s="66"/>
      <c r="G17" s="66"/>
      <c r="H17" s="66"/>
      <c r="I17" s="62"/>
      <c r="J17" s="10"/>
      <c r="K17" s="62">
        <f>WORKDAY.INTL(I17,J17,1,parametre!C$2:C$18)</f>
        <v>0</v>
      </c>
      <c r="L17" s="37">
        <v>0</v>
      </c>
      <c r="M17" s="62">
        <f>I17+L17*(K17-I17)</f>
        <v>0</v>
      </c>
      <c r="N17" s="51"/>
      <c r="O17" s="52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4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</row>
    <row r="18" spans="1:434" ht="17.25" customHeight="1" outlineLevel="1">
      <c r="A18" s="6" t="s">
        <v>17</v>
      </c>
      <c r="B18" s="64">
        <v>1.4</v>
      </c>
      <c r="C18" s="65" t="s">
        <v>1</v>
      </c>
      <c r="D18" s="66"/>
      <c r="E18" s="66"/>
      <c r="F18" s="66"/>
      <c r="G18" s="66"/>
      <c r="H18" s="66"/>
      <c r="I18" s="62"/>
      <c r="J18" s="10"/>
      <c r="K18" s="62">
        <f>WORKDAY.INTL(I18,J18,1,parametre!C$2:C$18)</f>
        <v>0</v>
      </c>
      <c r="L18" s="37">
        <v>0</v>
      </c>
      <c r="M18" s="62">
        <f t="shared" si="429"/>
        <v>0</v>
      </c>
      <c r="N18" s="51"/>
      <c r="O18" s="52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4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  <c r="IW18" s="55"/>
      <c r="IX18" s="55"/>
      <c r="IY18" s="55"/>
      <c r="IZ18" s="55"/>
      <c r="JA18" s="55"/>
      <c r="JB18" s="55"/>
      <c r="JC18" s="55"/>
      <c r="JD18" s="55"/>
      <c r="JE18" s="55"/>
      <c r="JF18" s="55"/>
      <c r="JG18" s="55"/>
      <c r="JH18" s="55"/>
      <c r="JI18" s="55"/>
      <c r="JJ18" s="55"/>
      <c r="JK18" s="55"/>
      <c r="JL18" s="55"/>
      <c r="JM18" s="55"/>
      <c r="JN18" s="55"/>
      <c r="JO18" s="55"/>
      <c r="JP18" s="55"/>
      <c r="JQ18" s="55"/>
      <c r="JR18" s="55"/>
      <c r="JS18" s="55"/>
      <c r="JT18" s="55"/>
      <c r="JU18" s="55"/>
      <c r="JV18" s="55"/>
      <c r="JW18" s="55"/>
      <c r="JX18" s="55"/>
      <c r="JY18" s="55"/>
      <c r="JZ18" s="55"/>
      <c r="KA18" s="55"/>
      <c r="KB18" s="55"/>
      <c r="KC18" s="55"/>
      <c r="KD18" s="55"/>
      <c r="KE18" s="55"/>
      <c r="KF18" s="55"/>
      <c r="KG18" s="55"/>
      <c r="KH18" s="55"/>
      <c r="KI18" s="55"/>
      <c r="KJ18" s="55"/>
      <c r="KK18" s="55"/>
      <c r="KL18" s="55"/>
      <c r="KM18" s="55"/>
      <c r="KN18" s="55"/>
      <c r="KO18" s="55"/>
      <c r="KP18" s="55"/>
      <c r="KQ18" s="55"/>
      <c r="KR18" s="55"/>
      <c r="KS18" s="55"/>
      <c r="KT18" s="55"/>
      <c r="KU18" s="55"/>
      <c r="KV18" s="55"/>
      <c r="KW18" s="55"/>
      <c r="KX18" s="55"/>
      <c r="KY18" s="55"/>
      <c r="KZ18" s="55"/>
      <c r="LA18" s="55"/>
      <c r="LB18" s="55"/>
      <c r="LC18" s="55"/>
      <c r="LD18" s="55"/>
      <c r="LE18" s="55"/>
      <c r="LF18" s="55"/>
      <c r="LG18" s="55"/>
      <c r="LH18" s="55"/>
      <c r="LI18" s="55"/>
      <c r="LJ18" s="55"/>
      <c r="LK18" s="55"/>
      <c r="LL18" s="55"/>
      <c r="LM18" s="55"/>
      <c r="LN18" s="55"/>
      <c r="LO18" s="55"/>
      <c r="LP18" s="55"/>
      <c r="LQ18" s="55"/>
      <c r="LR18" s="55"/>
      <c r="LS18" s="55"/>
      <c r="LT18" s="55"/>
      <c r="LU18" s="55"/>
      <c r="LV18" s="55"/>
      <c r="LW18" s="55"/>
      <c r="LX18" s="55"/>
      <c r="LY18" s="55"/>
      <c r="LZ18" s="55"/>
      <c r="MA18" s="55"/>
      <c r="MB18" s="55"/>
      <c r="MC18" s="55"/>
      <c r="MD18" s="55"/>
      <c r="ME18" s="55"/>
      <c r="MF18" s="55"/>
      <c r="MG18" s="55"/>
      <c r="MH18" s="55"/>
      <c r="MI18" s="55"/>
      <c r="MJ18" s="55"/>
      <c r="MK18" s="55"/>
      <c r="ML18" s="55"/>
      <c r="MM18" s="55"/>
      <c r="MN18" s="55"/>
      <c r="MO18" s="55"/>
      <c r="MP18" s="55"/>
      <c r="MQ18" s="55"/>
      <c r="MR18" s="55"/>
      <c r="MS18" s="55"/>
      <c r="MT18" s="55"/>
      <c r="MU18" s="55"/>
      <c r="MV18" s="55"/>
      <c r="MW18" s="55"/>
      <c r="MX18" s="55"/>
      <c r="MY18" s="55"/>
      <c r="MZ18" s="55"/>
      <c r="NA18" s="55"/>
      <c r="NB18" s="55"/>
      <c r="NC18" s="55"/>
      <c r="ND18" s="55"/>
      <c r="NE18" s="55"/>
      <c r="NF18" s="55"/>
      <c r="NG18" s="55"/>
      <c r="NH18" s="55"/>
      <c r="NI18" s="55"/>
      <c r="NJ18" s="55"/>
      <c r="NK18" s="55"/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/>
      <c r="NZ18" s="55"/>
      <c r="OA18" s="55"/>
      <c r="OB18" s="55"/>
      <c r="OC18" s="55"/>
      <c r="OD18" s="55"/>
      <c r="OE18" s="55"/>
      <c r="OF18" s="55"/>
      <c r="OG18" s="55"/>
      <c r="OH18" s="55"/>
      <c r="OI18" s="55"/>
      <c r="OJ18" s="55"/>
      <c r="OK18" s="55"/>
      <c r="OL18" s="55"/>
      <c r="OM18" s="55"/>
      <c r="ON18" s="55"/>
      <c r="OO18" s="55"/>
      <c r="OP18" s="55"/>
      <c r="OQ18" s="55"/>
      <c r="OR18" s="55"/>
      <c r="OS18" s="55"/>
      <c r="OT18" s="55"/>
      <c r="OU18" s="55"/>
      <c r="OV18" s="55"/>
      <c r="OW18" s="55"/>
      <c r="OX18" s="55"/>
      <c r="OY18" s="55"/>
      <c r="OZ18" s="55"/>
      <c r="PA18" s="55"/>
      <c r="PB18" s="55"/>
      <c r="PC18" s="55"/>
      <c r="PD18" s="55"/>
      <c r="PE18" s="55"/>
      <c r="PF18" s="55"/>
      <c r="PG18" s="55"/>
      <c r="PH18" s="55"/>
      <c r="PI18" s="55"/>
      <c r="PJ18" s="55"/>
      <c r="PK18" s="55"/>
      <c r="PL18" s="55"/>
      <c r="PM18" s="55"/>
      <c r="PN18" s="55"/>
      <c r="PO18" s="55"/>
      <c r="PP18" s="55"/>
      <c r="PQ18" s="55"/>
      <c r="PR18" s="55"/>
    </row>
    <row r="19" spans="1:434" ht="17.25" customHeight="1" outlineLevel="1">
      <c r="A19" s="6" t="s">
        <v>17</v>
      </c>
      <c r="B19" s="64">
        <v>1.4</v>
      </c>
      <c r="C19" s="65" t="s">
        <v>2</v>
      </c>
      <c r="D19" s="66"/>
      <c r="E19" s="66"/>
      <c r="F19" s="66"/>
      <c r="G19" s="66"/>
      <c r="H19" s="66"/>
      <c r="I19" s="62"/>
      <c r="J19" s="10"/>
      <c r="K19" s="62">
        <f>WORKDAY.INTL(I19,J19,1,parametre!C$2:C$18)</f>
        <v>0</v>
      </c>
      <c r="L19" s="37">
        <v>0</v>
      </c>
      <c r="M19" s="62">
        <f t="shared" si="429"/>
        <v>0</v>
      </c>
      <c r="N19" s="51"/>
      <c r="O19" s="52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4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</row>
    <row r="20" spans="1:434" ht="17.25" customHeight="1" outlineLevel="1">
      <c r="A20" s="6" t="s">
        <v>17</v>
      </c>
      <c r="B20" s="64">
        <v>1.5</v>
      </c>
      <c r="C20" s="65" t="s">
        <v>1</v>
      </c>
      <c r="D20" s="66"/>
      <c r="E20" s="66"/>
      <c r="F20" s="66"/>
      <c r="G20" s="66"/>
      <c r="H20" s="66"/>
      <c r="I20" s="62"/>
      <c r="J20" s="10"/>
      <c r="K20" s="62">
        <f>WORKDAY.INTL(I20,J20,1,parametre!C$2:C$18)</f>
        <v>0</v>
      </c>
      <c r="L20" s="37">
        <v>0</v>
      </c>
      <c r="M20" s="62">
        <f t="shared" ref="M20" si="431">I20+L20*(K20-I20)</f>
        <v>0</v>
      </c>
      <c r="N20" s="51"/>
      <c r="O20" s="52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4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</row>
    <row r="21" spans="1:434" ht="17.25" customHeight="1" outlineLevel="1">
      <c r="A21" s="6" t="s">
        <v>17</v>
      </c>
      <c r="B21" s="64">
        <v>1.5</v>
      </c>
      <c r="C21" s="65" t="s">
        <v>2</v>
      </c>
      <c r="D21" s="66"/>
      <c r="E21" s="66"/>
      <c r="F21" s="66"/>
      <c r="G21" s="66"/>
      <c r="H21" s="66"/>
      <c r="I21" s="62"/>
      <c r="J21" s="10"/>
      <c r="K21" s="62">
        <f>WORKDAY.INTL(I21,J21,1,parametre!C$2:C$18)</f>
        <v>0</v>
      </c>
      <c r="L21" s="37">
        <v>0</v>
      </c>
      <c r="M21" s="62">
        <f t="shared" si="429"/>
        <v>0</v>
      </c>
      <c r="N21" s="51"/>
      <c r="O21" s="52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4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</row>
    <row r="22" spans="1:434" s="26" customFormat="1" ht="21" customHeight="1">
      <c r="A22" s="27" t="s">
        <v>17</v>
      </c>
      <c r="B22" s="28">
        <v>2</v>
      </c>
      <c r="C22" s="29" t="s">
        <v>3</v>
      </c>
      <c r="D22" s="30" t="s">
        <v>29</v>
      </c>
      <c r="E22" s="31"/>
      <c r="F22" s="31"/>
      <c r="G22" s="31"/>
      <c r="H22" s="31"/>
      <c r="I22" s="61" t="str">
        <f>IF(MIN(I23:I28)&gt;0,MIN(I23:I28),"")</f>
        <v/>
      </c>
      <c r="J22" s="25" t="e">
        <f>NETWORKDAYS.INTL(I22,K22,1,parametre!C5:C18)</f>
        <v>#VALUE!</v>
      </c>
      <c r="K22" s="61" t="str">
        <f>IF(MAX(K23:K28)&gt;0,MAX(K23:K28),"")</f>
        <v/>
      </c>
      <c r="L22" s="38">
        <f>AVERAGE(L24,L26,L28)</f>
        <v>0</v>
      </c>
      <c r="M22" s="57" t="e">
        <f t="shared" si="429"/>
        <v>#VALUE!</v>
      </c>
      <c r="N22" s="46"/>
      <c r="O22" s="47"/>
      <c r="P22" s="48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9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</row>
    <row r="23" spans="1:434" ht="17.25" customHeight="1" outlineLevel="1">
      <c r="A23" s="6" t="s">
        <v>17</v>
      </c>
      <c r="B23" s="7">
        <v>2.1</v>
      </c>
      <c r="C23" s="8" t="s">
        <v>1</v>
      </c>
      <c r="D23" s="9"/>
      <c r="E23" s="9"/>
      <c r="F23" s="9"/>
      <c r="G23" s="9"/>
      <c r="H23" s="9"/>
      <c r="I23" s="62"/>
      <c r="J23" s="10"/>
      <c r="K23" s="62">
        <f>WORKDAY.INTL(I23,J23,1,parametre!C$2:C$18)</f>
        <v>0</v>
      </c>
      <c r="L23" s="37">
        <v>0</v>
      </c>
      <c r="M23" s="62">
        <f t="shared" ref="M23:M28" si="432">I23+L23*(K23-I23)</f>
        <v>0</v>
      </c>
      <c r="N23" s="51"/>
      <c r="O23" s="52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4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</row>
    <row r="24" spans="1:434" ht="17.25" customHeight="1" outlineLevel="1">
      <c r="A24" s="6" t="s">
        <v>17</v>
      </c>
      <c r="B24" s="7">
        <v>2.1</v>
      </c>
      <c r="C24" s="8" t="s">
        <v>2</v>
      </c>
      <c r="D24" s="9"/>
      <c r="E24" s="9"/>
      <c r="F24" s="9"/>
      <c r="G24" s="9"/>
      <c r="H24" s="9"/>
      <c r="I24" s="62"/>
      <c r="J24" s="10"/>
      <c r="K24" s="62">
        <f>WORKDAY.INTL(I24,J24,1,parametre!C$2:C$18)</f>
        <v>0</v>
      </c>
      <c r="L24" s="37">
        <v>0</v>
      </c>
      <c r="M24" s="62">
        <f t="shared" si="432"/>
        <v>0</v>
      </c>
      <c r="N24" s="51"/>
      <c r="O24" s="52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4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  <c r="FK24" s="55"/>
      <c r="FL24" s="55"/>
      <c r="FM24" s="55"/>
      <c r="FN24" s="55"/>
      <c r="FO24" s="55"/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  <c r="HO24" s="55"/>
      <c r="HP24" s="55"/>
      <c r="HQ24" s="55"/>
      <c r="HR24" s="55"/>
      <c r="HS24" s="55"/>
      <c r="HT24" s="55"/>
      <c r="HU24" s="55"/>
      <c r="HV24" s="55"/>
      <c r="HW24" s="55"/>
      <c r="HX24" s="55"/>
      <c r="HY24" s="55"/>
      <c r="HZ24" s="55"/>
      <c r="IA24" s="55"/>
      <c r="IB24" s="55"/>
      <c r="IC24" s="55"/>
      <c r="ID24" s="55"/>
      <c r="IE24" s="55"/>
      <c r="IF24" s="55"/>
      <c r="IG24" s="55"/>
      <c r="IH24" s="55"/>
      <c r="II24" s="55"/>
      <c r="IJ24" s="55"/>
      <c r="IK24" s="55"/>
      <c r="IL24" s="55"/>
      <c r="IM24" s="55"/>
      <c r="IN24" s="55"/>
      <c r="IO24" s="55"/>
      <c r="IP24" s="55"/>
      <c r="IQ24" s="55"/>
      <c r="IR24" s="55"/>
      <c r="IS24" s="55"/>
      <c r="IT24" s="55"/>
      <c r="IU24" s="55"/>
      <c r="IV24" s="55"/>
      <c r="IW24" s="55"/>
      <c r="IX24" s="55"/>
      <c r="IY24" s="55"/>
      <c r="IZ24" s="55"/>
      <c r="JA24" s="55"/>
      <c r="JB24" s="55"/>
      <c r="JC24" s="55"/>
      <c r="JD24" s="55"/>
      <c r="JE24" s="55"/>
      <c r="JF24" s="55"/>
      <c r="JG24" s="55"/>
      <c r="JH24" s="55"/>
      <c r="JI24" s="55"/>
      <c r="JJ24" s="55"/>
      <c r="JK24" s="55"/>
      <c r="JL24" s="55"/>
      <c r="JM24" s="55"/>
      <c r="JN24" s="55"/>
      <c r="JO24" s="55"/>
      <c r="JP24" s="55"/>
      <c r="JQ24" s="55"/>
      <c r="JR24" s="55"/>
      <c r="JS24" s="55"/>
      <c r="JT24" s="55"/>
      <c r="JU24" s="55"/>
      <c r="JV24" s="55"/>
      <c r="JW24" s="55"/>
      <c r="JX24" s="55"/>
      <c r="JY24" s="55"/>
      <c r="JZ24" s="55"/>
      <c r="KA24" s="55"/>
      <c r="KB24" s="55"/>
      <c r="KC24" s="55"/>
      <c r="KD24" s="55"/>
      <c r="KE24" s="55"/>
      <c r="KF24" s="55"/>
      <c r="KG24" s="55"/>
      <c r="KH24" s="55"/>
      <c r="KI24" s="55"/>
      <c r="KJ24" s="55"/>
      <c r="KK24" s="55"/>
      <c r="KL24" s="55"/>
      <c r="KM24" s="55"/>
      <c r="KN24" s="55"/>
      <c r="KO24" s="55"/>
      <c r="KP24" s="55"/>
      <c r="KQ24" s="55"/>
      <c r="KR24" s="55"/>
      <c r="KS24" s="55"/>
      <c r="KT24" s="55"/>
      <c r="KU24" s="55"/>
      <c r="KV24" s="55"/>
      <c r="KW24" s="55"/>
      <c r="KX24" s="55"/>
      <c r="KY24" s="55"/>
      <c r="KZ24" s="55"/>
      <c r="LA24" s="55"/>
      <c r="LB24" s="55"/>
      <c r="LC24" s="55"/>
      <c r="LD24" s="55"/>
      <c r="LE24" s="55"/>
      <c r="LF24" s="55"/>
      <c r="LG24" s="55"/>
      <c r="LH24" s="55"/>
      <c r="LI24" s="55"/>
      <c r="LJ24" s="55"/>
      <c r="LK24" s="55"/>
      <c r="LL24" s="55"/>
      <c r="LM24" s="55"/>
      <c r="LN24" s="55"/>
      <c r="LO24" s="55"/>
      <c r="LP24" s="55"/>
      <c r="LQ24" s="55"/>
      <c r="LR24" s="55"/>
      <c r="LS24" s="55"/>
      <c r="LT24" s="55"/>
      <c r="LU24" s="55"/>
      <c r="LV24" s="55"/>
      <c r="LW24" s="55"/>
      <c r="LX24" s="55"/>
      <c r="LY24" s="55"/>
      <c r="LZ24" s="55"/>
      <c r="MA24" s="55"/>
      <c r="MB24" s="55"/>
      <c r="MC24" s="55"/>
      <c r="MD24" s="55"/>
      <c r="ME24" s="55"/>
      <c r="MF24" s="55"/>
      <c r="MG24" s="55"/>
      <c r="MH24" s="55"/>
      <c r="MI24" s="55"/>
      <c r="MJ24" s="55"/>
      <c r="MK24" s="55"/>
      <c r="ML24" s="55"/>
      <c r="MM24" s="55"/>
      <c r="MN24" s="55"/>
      <c r="MO24" s="55"/>
      <c r="MP24" s="55"/>
      <c r="MQ24" s="55"/>
      <c r="MR24" s="55"/>
      <c r="MS24" s="55"/>
      <c r="MT24" s="55"/>
      <c r="MU24" s="55"/>
      <c r="MV24" s="55"/>
      <c r="MW24" s="55"/>
      <c r="MX24" s="55"/>
      <c r="MY24" s="55"/>
      <c r="MZ24" s="55"/>
      <c r="NA24" s="55"/>
      <c r="NB24" s="55"/>
      <c r="NC24" s="55"/>
      <c r="ND24" s="55"/>
      <c r="NE24" s="55"/>
      <c r="NF24" s="55"/>
      <c r="NG24" s="55"/>
      <c r="NH24" s="55"/>
      <c r="NI24" s="55"/>
      <c r="NJ24" s="55"/>
      <c r="NK24" s="55"/>
      <c r="NL24" s="55"/>
      <c r="NM24" s="55"/>
      <c r="NN24" s="55"/>
      <c r="NO24" s="55"/>
      <c r="NP24" s="55"/>
      <c r="NQ24" s="55"/>
      <c r="NR24" s="55"/>
      <c r="NS24" s="55"/>
      <c r="NT24" s="55"/>
      <c r="NU24" s="55"/>
      <c r="NV24" s="55"/>
      <c r="NW24" s="55"/>
      <c r="NX24" s="55"/>
      <c r="NY24" s="55"/>
      <c r="NZ24" s="55"/>
      <c r="OA24" s="55"/>
      <c r="OB24" s="55"/>
      <c r="OC24" s="55"/>
      <c r="OD24" s="55"/>
      <c r="OE24" s="55"/>
      <c r="OF24" s="55"/>
      <c r="OG24" s="55"/>
      <c r="OH24" s="55"/>
      <c r="OI24" s="55"/>
      <c r="OJ24" s="55"/>
      <c r="OK24" s="55"/>
      <c r="OL24" s="55"/>
      <c r="OM24" s="55"/>
      <c r="ON24" s="55"/>
      <c r="OO24" s="55"/>
      <c r="OP24" s="55"/>
      <c r="OQ24" s="55"/>
      <c r="OR24" s="55"/>
      <c r="OS24" s="55"/>
      <c r="OT24" s="55"/>
      <c r="OU24" s="55"/>
      <c r="OV24" s="55"/>
      <c r="OW24" s="55"/>
      <c r="OX24" s="55"/>
      <c r="OY24" s="55"/>
      <c r="OZ24" s="55"/>
      <c r="PA24" s="55"/>
      <c r="PB24" s="55"/>
      <c r="PC24" s="55"/>
      <c r="PD24" s="55"/>
      <c r="PE24" s="55"/>
      <c r="PF24" s="55"/>
      <c r="PG24" s="55"/>
      <c r="PH24" s="55"/>
      <c r="PI24" s="55"/>
      <c r="PJ24" s="55"/>
      <c r="PK24" s="55"/>
      <c r="PL24" s="55"/>
      <c r="PM24" s="55"/>
      <c r="PN24" s="55"/>
      <c r="PO24" s="55"/>
      <c r="PP24" s="55"/>
      <c r="PQ24" s="55"/>
      <c r="PR24" s="55"/>
    </row>
    <row r="25" spans="1:434" ht="17.25" customHeight="1" outlineLevel="1">
      <c r="A25" s="6" t="s">
        <v>17</v>
      </c>
      <c r="B25" s="7">
        <v>2.2000000000000002</v>
      </c>
      <c r="C25" s="8" t="s">
        <v>1</v>
      </c>
      <c r="D25" s="9"/>
      <c r="E25" s="9"/>
      <c r="F25" s="9"/>
      <c r="G25" s="9"/>
      <c r="H25" s="9"/>
      <c r="I25" s="62"/>
      <c r="J25" s="10"/>
      <c r="K25" s="62">
        <f>WORKDAY.INTL(I25,J25,1,parametre!C$2:C$18)</f>
        <v>0</v>
      </c>
      <c r="L25" s="37">
        <v>0</v>
      </c>
      <c r="M25" s="62">
        <f t="shared" si="432"/>
        <v>0</v>
      </c>
      <c r="N25" s="51"/>
      <c r="O25" s="52"/>
      <c r="P25" s="53"/>
      <c r="Q25" s="53"/>
      <c r="R25" s="53"/>
      <c r="S25" s="53"/>
      <c r="T25" s="53"/>
      <c r="U25" s="55"/>
      <c r="V25" s="53"/>
      <c r="W25" s="53"/>
      <c r="X25" s="53"/>
      <c r="Y25" s="53"/>
      <c r="Z25" s="53"/>
      <c r="AA25" s="53"/>
      <c r="AB25" s="53"/>
      <c r="AC25" s="53"/>
      <c r="AD25" s="54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  <c r="IW25" s="55"/>
      <c r="IX25" s="55"/>
      <c r="IY25" s="55"/>
      <c r="IZ25" s="55"/>
      <c r="JA25" s="55"/>
      <c r="JB25" s="55"/>
      <c r="JC25" s="55"/>
      <c r="JD25" s="55"/>
      <c r="JE25" s="55"/>
      <c r="JF25" s="55"/>
      <c r="JG25" s="55"/>
      <c r="JH25" s="55"/>
      <c r="JI25" s="55"/>
      <c r="JJ25" s="55"/>
      <c r="JK25" s="55"/>
      <c r="JL25" s="55"/>
      <c r="JM25" s="55"/>
      <c r="JN25" s="55"/>
      <c r="JO25" s="55"/>
      <c r="JP25" s="55"/>
      <c r="JQ25" s="55"/>
      <c r="JR25" s="55"/>
      <c r="JS25" s="55"/>
      <c r="JT25" s="55"/>
      <c r="JU25" s="55"/>
      <c r="JV25" s="55"/>
      <c r="JW25" s="55"/>
      <c r="JX25" s="55"/>
      <c r="JY25" s="55"/>
      <c r="JZ25" s="55"/>
      <c r="KA25" s="55"/>
      <c r="KB25" s="55"/>
      <c r="KC25" s="55"/>
      <c r="KD25" s="55"/>
      <c r="KE25" s="55"/>
      <c r="KF25" s="55"/>
      <c r="KG25" s="55"/>
      <c r="KH25" s="55"/>
      <c r="KI25" s="55"/>
      <c r="KJ25" s="55"/>
      <c r="KK25" s="55"/>
      <c r="KL25" s="55"/>
      <c r="KM25" s="55"/>
      <c r="KN25" s="55"/>
      <c r="KO25" s="55"/>
      <c r="KP25" s="55"/>
      <c r="KQ25" s="55"/>
      <c r="KR25" s="55"/>
      <c r="KS25" s="55"/>
      <c r="KT25" s="55"/>
      <c r="KU25" s="55"/>
      <c r="KV25" s="55"/>
      <c r="KW25" s="55"/>
      <c r="KX25" s="55"/>
      <c r="KY25" s="55"/>
      <c r="KZ25" s="55"/>
      <c r="LA25" s="55"/>
      <c r="LB25" s="55"/>
      <c r="LC25" s="55"/>
      <c r="LD25" s="55"/>
      <c r="LE25" s="55"/>
      <c r="LF25" s="55"/>
      <c r="LG25" s="55"/>
      <c r="LH25" s="55"/>
      <c r="LI25" s="55"/>
      <c r="LJ25" s="55"/>
      <c r="LK25" s="55"/>
      <c r="LL25" s="55"/>
      <c r="LM25" s="55"/>
      <c r="LN25" s="55"/>
      <c r="LO25" s="55"/>
      <c r="LP25" s="55"/>
      <c r="LQ25" s="55"/>
      <c r="LR25" s="55"/>
      <c r="LS25" s="55"/>
      <c r="LT25" s="55"/>
      <c r="LU25" s="55"/>
      <c r="LV25" s="55"/>
      <c r="LW25" s="55"/>
      <c r="LX25" s="55"/>
      <c r="LY25" s="55"/>
      <c r="LZ25" s="55"/>
      <c r="MA25" s="55"/>
      <c r="MB25" s="55"/>
      <c r="MC25" s="55"/>
      <c r="MD25" s="55"/>
      <c r="ME25" s="55"/>
      <c r="MF25" s="55"/>
      <c r="MG25" s="55"/>
      <c r="MH25" s="55"/>
      <c r="MI25" s="55"/>
      <c r="MJ25" s="55"/>
      <c r="MK25" s="55"/>
      <c r="ML25" s="55"/>
      <c r="MM25" s="55"/>
      <c r="MN25" s="55"/>
      <c r="MO25" s="55"/>
      <c r="MP25" s="55"/>
      <c r="MQ25" s="55"/>
      <c r="MR25" s="55"/>
      <c r="MS25" s="55"/>
      <c r="MT25" s="55"/>
      <c r="MU25" s="55"/>
      <c r="MV25" s="55"/>
      <c r="MW25" s="55"/>
      <c r="MX25" s="55"/>
      <c r="MY25" s="55"/>
      <c r="MZ25" s="55"/>
      <c r="NA25" s="55"/>
      <c r="NB25" s="55"/>
      <c r="NC25" s="55"/>
      <c r="ND25" s="55"/>
      <c r="NE25" s="55"/>
      <c r="NF25" s="55"/>
      <c r="NG25" s="55"/>
      <c r="NH25" s="55"/>
      <c r="NI25" s="55"/>
      <c r="NJ25" s="55"/>
      <c r="NK25" s="55"/>
      <c r="NL25" s="55"/>
      <c r="NM25" s="55"/>
      <c r="NN25" s="55"/>
      <c r="NO25" s="55"/>
      <c r="NP25" s="55"/>
      <c r="NQ25" s="55"/>
      <c r="NR25" s="55"/>
      <c r="NS25" s="55"/>
      <c r="NT25" s="55"/>
      <c r="NU25" s="55"/>
      <c r="NV25" s="55"/>
      <c r="NW25" s="55"/>
      <c r="NX25" s="55"/>
      <c r="NY25" s="55"/>
      <c r="NZ25" s="55"/>
      <c r="OA25" s="55"/>
      <c r="OB25" s="55"/>
      <c r="OC25" s="55"/>
      <c r="OD25" s="55"/>
      <c r="OE25" s="55"/>
      <c r="OF25" s="55"/>
      <c r="OG25" s="55"/>
      <c r="OH25" s="55"/>
      <c r="OI25" s="55"/>
      <c r="OJ25" s="55"/>
      <c r="OK25" s="55"/>
      <c r="OL25" s="55"/>
      <c r="OM25" s="55"/>
      <c r="ON25" s="55"/>
      <c r="OO25" s="55"/>
      <c r="OP25" s="55"/>
      <c r="OQ25" s="55"/>
      <c r="OR25" s="55"/>
      <c r="OS25" s="55"/>
      <c r="OT25" s="55"/>
      <c r="OU25" s="55"/>
      <c r="OV25" s="55"/>
      <c r="OW25" s="55"/>
      <c r="OX25" s="55"/>
      <c r="OY25" s="55"/>
      <c r="OZ25" s="55"/>
      <c r="PA25" s="55"/>
      <c r="PB25" s="55"/>
      <c r="PC25" s="55"/>
      <c r="PD25" s="55"/>
      <c r="PE25" s="55"/>
      <c r="PF25" s="55"/>
      <c r="PG25" s="55"/>
      <c r="PH25" s="55"/>
      <c r="PI25" s="55"/>
      <c r="PJ25" s="55"/>
      <c r="PK25" s="55"/>
      <c r="PL25" s="55"/>
      <c r="PM25" s="55"/>
      <c r="PN25" s="55"/>
      <c r="PO25" s="55"/>
      <c r="PP25" s="55"/>
      <c r="PQ25" s="55"/>
      <c r="PR25" s="55"/>
    </row>
    <row r="26" spans="1:434" ht="17.25" customHeight="1" outlineLevel="1">
      <c r="A26" s="6" t="s">
        <v>17</v>
      </c>
      <c r="B26" s="7">
        <v>2.2000000000000002</v>
      </c>
      <c r="C26" s="8" t="s">
        <v>2</v>
      </c>
      <c r="D26" s="66"/>
      <c r="E26" s="9"/>
      <c r="F26" s="9"/>
      <c r="G26" s="9"/>
      <c r="H26" s="9"/>
      <c r="I26" s="62"/>
      <c r="J26" s="10"/>
      <c r="K26" s="62">
        <f>WORKDAY.INTL(I26,J26,1,parametre!C$2:C$18)</f>
        <v>0</v>
      </c>
      <c r="L26" s="37">
        <v>0</v>
      </c>
      <c r="M26" s="62">
        <f t="shared" si="432"/>
        <v>0</v>
      </c>
      <c r="N26" s="51"/>
      <c r="O26" s="52"/>
      <c r="P26" s="53"/>
      <c r="Q26" s="53"/>
      <c r="R26" s="53"/>
      <c r="S26" s="53"/>
      <c r="T26" s="53"/>
      <c r="U26" s="55"/>
      <c r="V26" s="53"/>
      <c r="W26" s="53"/>
      <c r="X26" s="53"/>
      <c r="Y26" s="53"/>
      <c r="Z26" s="53"/>
      <c r="AA26" s="53"/>
      <c r="AB26" s="53"/>
      <c r="AC26" s="53"/>
      <c r="AD26" s="54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  <c r="IW26" s="55"/>
      <c r="IX26" s="55"/>
      <c r="IY26" s="55"/>
      <c r="IZ26" s="55"/>
      <c r="JA26" s="55"/>
      <c r="JB26" s="55"/>
      <c r="JC26" s="55"/>
      <c r="JD26" s="55"/>
      <c r="JE26" s="55"/>
      <c r="JF26" s="55"/>
      <c r="JG26" s="55"/>
      <c r="JH26" s="55"/>
      <c r="JI26" s="55"/>
      <c r="JJ26" s="55"/>
      <c r="JK26" s="55"/>
      <c r="JL26" s="55"/>
      <c r="JM26" s="55"/>
      <c r="JN26" s="55"/>
      <c r="JO26" s="55"/>
      <c r="JP26" s="55"/>
      <c r="JQ26" s="55"/>
      <c r="JR26" s="55"/>
      <c r="JS26" s="55"/>
      <c r="JT26" s="55"/>
      <c r="JU26" s="55"/>
      <c r="JV26" s="55"/>
      <c r="JW26" s="55"/>
      <c r="JX26" s="55"/>
      <c r="JY26" s="55"/>
      <c r="JZ26" s="55"/>
      <c r="KA26" s="55"/>
      <c r="KB26" s="55"/>
      <c r="KC26" s="55"/>
      <c r="KD26" s="55"/>
      <c r="KE26" s="55"/>
      <c r="KF26" s="55"/>
      <c r="KG26" s="55"/>
      <c r="KH26" s="55"/>
      <c r="KI26" s="55"/>
      <c r="KJ26" s="55"/>
      <c r="KK26" s="55"/>
      <c r="KL26" s="55"/>
      <c r="KM26" s="55"/>
      <c r="KN26" s="55"/>
      <c r="KO26" s="55"/>
      <c r="KP26" s="55"/>
      <c r="KQ26" s="55"/>
      <c r="KR26" s="55"/>
      <c r="KS26" s="55"/>
      <c r="KT26" s="55"/>
      <c r="KU26" s="55"/>
      <c r="KV26" s="55"/>
      <c r="KW26" s="55"/>
      <c r="KX26" s="55"/>
      <c r="KY26" s="55"/>
      <c r="KZ26" s="55"/>
      <c r="LA26" s="55"/>
      <c r="LB26" s="55"/>
      <c r="LC26" s="55"/>
      <c r="LD26" s="55"/>
      <c r="LE26" s="55"/>
      <c r="LF26" s="55"/>
      <c r="LG26" s="55"/>
      <c r="LH26" s="55"/>
      <c r="LI26" s="55"/>
      <c r="LJ26" s="55"/>
      <c r="LK26" s="55"/>
      <c r="LL26" s="55"/>
      <c r="LM26" s="55"/>
      <c r="LN26" s="55"/>
      <c r="LO26" s="55"/>
      <c r="LP26" s="55"/>
      <c r="LQ26" s="55"/>
      <c r="LR26" s="55"/>
      <c r="LS26" s="55"/>
      <c r="LT26" s="55"/>
      <c r="LU26" s="55"/>
      <c r="LV26" s="55"/>
      <c r="LW26" s="55"/>
      <c r="LX26" s="55"/>
      <c r="LY26" s="55"/>
      <c r="LZ26" s="55"/>
      <c r="MA26" s="55"/>
      <c r="MB26" s="55"/>
      <c r="MC26" s="55"/>
      <c r="MD26" s="55"/>
      <c r="ME26" s="55"/>
      <c r="MF26" s="55"/>
      <c r="MG26" s="55"/>
      <c r="MH26" s="55"/>
      <c r="MI26" s="55"/>
      <c r="MJ26" s="55"/>
      <c r="MK26" s="55"/>
      <c r="ML26" s="55"/>
      <c r="MM26" s="55"/>
      <c r="MN26" s="55"/>
      <c r="MO26" s="55"/>
      <c r="MP26" s="55"/>
      <c r="MQ26" s="55"/>
      <c r="MR26" s="55"/>
      <c r="MS26" s="55"/>
      <c r="MT26" s="55"/>
      <c r="MU26" s="55"/>
      <c r="MV26" s="55"/>
      <c r="MW26" s="55"/>
      <c r="MX26" s="55"/>
      <c r="MY26" s="55"/>
      <c r="MZ26" s="55"/>
      <c r="NA26" s="55"/>
      <c r="NB26" s="55"/>
      <c r="NC26" s="55"/>
      <c r="ND26" s="55"/>
      <c r="NE26" s="55"/>
      <c r="NF26" s="55"/>
      <c r="NG26" s="55"/>
      <c r="NH26" s="55"/>
      <c r="NI26" s="55"/>
      <c r="NJ26" s="55"/>
      <c r="NK26" s="55"/>
      <c r="NL26" s="55"/>
      <c r="NM26" s="55"/>
      <c r="NN26" s="55"/>
      <c r="NO26" s="55"/>
      <c r="NP26" s="55"/>
      <c r="NQ26" s="55"/>
      <c r="NR26" s="55"/>
      <c r="NS26" s="55"/>
      <c r="NT26" s="55"/>
      <c r="NU26" s="55"/>
      <c r="NV26" s="55"/>
      <c r="NW26" s="55"/>
      <c r="NX26" s="55"/>
      <c r="NY26" s="55"/>
      <c r="NZ26" s="55"/>
      <c r="OA26" s="55"/>
      <c r="OB26" s="55"/>
      <c r="OC26" s="55"/>
      <c r="OD26" s="55"/>
      <c r="OE26" s="55"/>
      <c r="OF26" s="55"/>
      <c r="OG26" s="55"/>
      <c r="OH26" s="55"/>
      <c r="OI26" s="55"/>
      <c r="OJ26" s="55"/>
      <c r="OK26" s="55"/>
      <c r="OL26" s="55"/>
      <c r="OM26" s="55"/>
      <c r="ON26" s="55"/>
      <c r="OO26" s="55"/>
      <c r="OP26" s="55"/>
      <c r="OQ26" s="55"/>
      <c r="OR26" s="55"/>
      <c r="OS26" s="55"/>
      <c r="OT26" s="55"/>
      <c r="OU26" s="55"/>
      <c r="OV26" s="55"/>
      <c r="OW26" s="55"/>
      <c r="OX26" s="55"/>
      <c r="OY26" s="55"/>
      <c r="OZ26" s="55"/>
      <c r="PA26" s="55"/>
      <c r="PB26" s="55"/>
      <c r="PC26" s="55"/>
      <c r="PD26" s="55"/>
      <c r="PE26" s="55"/>
      <c r="PF26" s="55"/>
      <c r="PG26" s="55"/>
      <c r="PH26" s="55"/>
      <c r="PI26" s="55"/>
      <c r="PJ26" s="55"/>
      <c r="PK26" s="55"/>
      <c r="PL26" s="55"/>
      <c r="PM26" s="55"/>
      <c r="PN26" s="55"/>
      <c r="PO26" s="55"/>
      <c r="PP26" s="55"/>
      <c r="PQ26" s="55"/>
      <c r="PR26" s="55"/>
    </row>
    <row r="27" spans="1:434" ht="17.25" customHeight="1" outlineLevel="1">
      <c r="A27" s="6" t="s">
        <v>17</v>
      </c>
      <c r="B27" s="7">
        <v>2.2999999999999998</v>
      </c>
      <c r="C27" s="8" t="s">
        <v>1</v>
      </c>
      <c r="D27" s="66"/>
      <c r="E27" s="9"/>
      <c r="F27" s="9"/>
      <c r="G27" s="9"/>
      <c r="H27" s="9"/>
      <c r="I27" s="62"/>
      <c r="J27" s="10"/>
      <c r="K27" s="62">
        <f>WORKDAY.INTL(I27,J27,1,parametre!C$2:C$18)</f>
        <v>0</v>
      </c>
      <c r="L27" s="37">
        <v>0</v>
      </c>
      <c r="M27" s="62">
        <f t="shared" ref="M27" si="433">I27+L27*(K27-I27)</f>
        <v>0</v>
      </c>
      <c r="N27" s="51"/>
      <c r="O27" s="52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4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</row>
    <row r="28" spans="1:434" ht="17.25" customHeight="1" outlineLevel="1">
      <c r="A28" s="6" t="s">
        <v>17</v>
      </c>
      <c r="B28" s="7">
        <v>2.2999999999999998</v>
      </c>
      <c r="C28" s="8" t="s">
        <v>2</v>
      </c>
      <c r="D28" s="66"/>
      <c r="E28" s="9"/>
      <c r="F28" s="9"/>
      <c r="G28" s="9"/>
      <c r="H28" s="9"/>
      <c r="I28" s="62"/>
      <c r="J28" s="10"/>
      <c r="K28" s="62">
        <f>WORKDAY.INTL(I28,J28,1,parametre!C$2:C$18)</f>
        <v>0</v>
      </c>
      <c r="L28" s="37">
        <v>0</v>
      </c>
      <c r="M28" s="62">
        <f t="shared" si="432"/>
        <v>0</v>
      </c>
      <c r="N28" s="51"/>
      <c r="O28" s="52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4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</row>
    <row r="29" spans="1:434" s="26" customFormat="1" ht="21" customHeight="1">
      <c r="A29" s="27" t="s">
        <v>17</v>
      </c>
      <c r="B29" s="32">
        <v>3</v>
      </c>
      <c r="C29" s="29" t="s">
        <v>3</v>
      </c>
      <c r="D29" s="33" t="s">
        <v>28</v>
      </c>
      <c r="E29" s="20"/>
      <c r="F29" s="20"/>
      <c r="G29" s="20"/>
      <c r="H29" s="20"/>
      <c r="I29" s="61" t="str">
        <f>IF(MIN(I30:I35)&gt;0,MIN(I30:I35),"")</f>
        <v/>
      </c>
      <c r="J29" s="25" t="e">
        <f>NETWORKDAYS.INTL(I29,K29,1,parametre!C5:C18)</f>
        <v>#VALUE!</v>
      </c>
      <c r="K29" s="61" t="str">
        <f>IF(MAX(K30:K35)&gt;0,MAX(K30:K35),"")</f>
        <v/>
      </c>
      <c r="L29" s="38">
        <f>AVERAGE(L31,L33,L35)</f>
        <v>0</v>
      </c>
      <c r="M29" s="57" t="e">
        <f>I29+L29*(K29-I29)</f>
        <v>#VALUE!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</row>
    <row r="30" spans="1:434" ht="21" customHeight="1">
      <c r="A30" s="6" t="s">
        <v>17</v>
      </c>
      <c r="B30" s="7">
        <v>3.1</v>
      </c>
      <c r="C30" s="8" t="s">
        <v>1</v>
      </c>
      <c r="D30" s="9"/>
      <c r="E30" s="9"/>
      <c r="F30" s="9"/>
      <c r="G30" s="9"/>
      <c r="H30" s="9"/>
      <c r="I30" s="62"/>
      <c r="J30" s="10"/>
      <c r="K30" s="62">
        <f>WORKDAY.INTL(I30,J30,1,parametre!C$2:C$18)</f>
        <v>0</v>
      </c>
      <c r="L30" s="37">
        <v>0</v>
      </c>
      <c r="M30" s="62">
        <f t="shared" ref="M30" si="434">I30+L30*(K30-I30)</f>
        <v>0</v>
      </c>
      <c r="N30" s="51"/>
      <c r="O30" s="52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6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  <c r="IX30" s="55"/>
      <c r="IY30" s="55"/>
      <c r="IZ30" s="55"/>
      <c r="JA30" s="55"/>
      <c r="JB30" s="55"/>
      <c r="JC30" s="55"/>
      <c r="JD30" s="55"/>
      <c r="JE30" s="55"/>
      <c r="JF30" s="55"/>
      <c r="JG30" s="55"/>
      <c r="JH30" s="55"/>
      <c r="JI30" s="55"/>
      <c r="JJ30" s="55"/>
      <c r="JK30" s="55"/>
      <c r="JL30" s="55"/>
      <c r="JM30" s="55"/>
      <c r="JN30" s="55"/>
      <c r="JO30" s="55"/>
      <c r="JP30" s="55"/>
      <c r="JQ30" s="55"/>
      <c r="JR30" s="55"/>
      <c r="JS30" s="55"/>
      <c r="JT30" s="55"/>
      <c r="JU30" s="55"/>
      <c r="JV30" s="55"/>
      <c r="JW30" s="55"/>
      <c r="JX30" s="55"/>
      <c r="JY30" s="55"/>
      <c r="JZ30" s="55"/>
      <c r="KA30" s="55"/>
      <c r="KB30" s="55"/>
      <c r="KC30" s="55"/>
      <c r="KD30" s="55"/>
      <c r="KE30" s="55"/>
      <c r="KF30" s="55"/>
      <c r="KG30" s="55"/>
      <c r="KH30" s="55"/>
      <c r="KI30" s="55"/>
      <c r="KJ30" s="55"/>
      <c r="KK30" s="55"/>
      <c r="KL30" s="55"/>
      <c r="KM30" s="55"/>
      <c r="KN30" s="55"/>
      <c r="KO30" s="55"/>
      <c r="KP30" s="55"/>
      <c r="KQ30" s="55"/>
      <c r="KR30" s="55"/>
      <c r="KS30" s="55"/>
      <c r="KT30" s="55"/>
      <c r="KU30" s="55"/>
      <c r="KV30" s="55"/>
      <c r="KW30" s="55"/>
      <c r="KX30" s="55"/>
      <c r="KY30" s="55"/>
      <c r="KZ30" s="55"/>
      <c r="LA30" s="55"/>
      <c r="LB30" s="55"/>
      <c r="LC30" s="55"/>
      <c r="LD30" s="55"/>
      <c r="LE30" s="55"/>
      <c r="LF30" s="55"/>
      <c r="LG30" s="55"/>
      <c r="LH30" s="55"/>
      <c r="LI30" s="55"/>
      <c r="LJ30" s="55"/>
      <c r="LK30" s="55"/>
      <c r="LL30" s="55"/>
      <c r="LM30" s="55"/>
      <c r="LN30" s="55"/>
      <c r="LO30" s="55"/>
      <c r="LP30" s="55"/>
      <c r="LQ30" s="55"/>
      <c r="LR30" s="55"/>
      <c r="LS30" s="55"/>
      <c r="LT30" s="55"/>
      <c r="LU30" s="55"/>
      <c r="LV30" s="55"/>
      <c r="LW30" s="55"/>
      <c r="LX30" s="55"/>
      <c r="LY30" s="55"/>
      <c r="LZ30" s="55"/>
      <c r="MA30" s="55"/>
      <c r="MB30" s="55"/>
      <c r="MC30" s="55"/>
      <c r="MD30" s="55"/>
      <c r="ME30" s="55"/>
      <c r="MF30" s="55"/>
      <c r="MG30" s="55"/>
      <c r="MH30" s="55"/>
      <c r="MI30" s="55"/>
      <c r="MJ30" s="55"/>
      <c r="MK30" s="55"/>
      <c r="ML30" s="55"/>
      <c r="MM30" s="55"/>
      <c r="MN30" s="55"/>
      <c r="MO30" s="55"/>
      <c r="MP30" s="55"/>
      <c r="MQ30" s="55"/>
      <c r="MR30" s="55"/>
      <c r="MS30" s="55"/>
      <c r="MT30" s="55"/>
      <c r="MU30" s="55"/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  <c r="NP30" s="55"/>
      <c r="NQ30" s="55"/>
      <c r="NR30" s="55"/>
      <c r="NS30" s="55"/>
      <c r="NT30" s="55"/>
      <c r="NU30" s="55"/>
      <c r="NV30" s="55"/>
      <c r="NW30" s="55"/>
      <c r="NX30" s="55"/>
      <c r="NY30" s="55"/>
      <c r="NZ30" s="55"/>
      <c r="OA30" s="55"/>
      <c r="OB30" s="55"/>
      <c r="OC30" s="55"/>
      <c r="OD30" s="55"/>
      <c r="OE30" s="55"/>
      <c r="OF30" s="55"/>
      <c r="OG30" s="55"/>
      <c r="OH30" s="55"/>
      <c r="OI30" s="55"/>
      <c r="OJ30" s="55"/>
      <c r="OK30" s="55"/>
      <c r="OL30" s="55"/>
      <c r="OM30" s="55"/>
      <c r="ON30" s="55"/>
      <c r="OO30" s="55"/>
      <c r="OP30" s="55"/>
      <c r="OQ30" s="55"/>
      <c r="OR30" s="55"/>
      <c r="OS30" s="55"/>
      <c r="OT30" s="55"/>
      <c r="OU30" s="55"/>
      <c r="OV30" s="55"/>
      <c r="OW30" s="55"/>
      <c r="OX30" s="55"/>
      <c r="OY30" s="55"/>
      <c r="OZ30" s="55"/>
      <c r="PA30" s="55"/>
      <c r="PB30" s="55"/>
      <c r="PC30" s="55"/>
      <c r="PD30" s="55"/>
      <c r="PE30" s="55"/>
      <c r="PF30" s="55"/>
      <c r="PG30" s="55"/>
      <c r="PH30" s="55"/>
      <c r="PI30" s="55"/>
      <c r="PJ30" s="55"/>
      <c r="PK30" s="55"/>
      <c r="PL30" s="55"/>
      <c r="PM30" s="55"/>
      <c r="PN30" s="55"/>
      <c r="PO30" s="55"/>
      <c r="PP30" s="55"/>
      <c r="PQ30" s="55"/>
      <c r="PR30" s="55"/>
    </row>
    <row r="31" spans="1:434" ht="21" customHeight="1">
      <c r="A31" s="6" t="s">
        <v>17</v>
      </c>
      <c r="B31" s="7">
        <v>3.1</v>
      </c>
      <c r="C31" s="8" t="s">
        <v>2</v>
      </c>
      <c r="D31" s="9"/>
      <c r="E31" s="9"/>
      <c r="F31" s="9"/>
      <c r="G31" s="9"/>
      <c r="H31" s="9"/>
      <c r="I31" s="62"/>
      <c r="J31" s="10"/>
      <c r="K31" s="62">
        <f>WORKDAY.INTL(I31,J31,1,parametre!C$2:C$18)</f>
        <v>0</v>
      </c>
      <c r="L31" s="37">
        <v>0</v>
      </c>
      <c r="M31" s="62">
        <f t="shared" ref="M31:M35" si="435">I31+L31*(K31-I31)</f>
        <v>0</v>
      </c>
      <c r="N31" s="51"/>
      <c r="O31" s="52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6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  <c r="IW31" s="55"/>
      <c r="IX31" s="55"/>
      <c r="IY31" s="55"/>
      <c r="IZ31" s="55"/>
      <c r="JA31" s="55"/>
      <c r="JB31" s="55"/>
      <c r="JC31" s="55"/>
      <c r="JD31" s="55"/>
      <c r="JE31" s="55"/>
      <c r="JF31" s="55"/>
      <c r="JG31" s="55"/>
      <c r="JH31" s="55"/>
      <c r="JI31" s="55"/>
      <c r="JJ31" s="55"/>
      <c r="JK31" s="55"/>
      <c r="JL31" s="55"/>
      <c r="JM31" s="55"/>
      <c r="JN31" s="55"/>
      <c r="JO31" s="55"/>
      <c r="JP31" s="55"/>
      <c r="JQ31" s="55"/>
      <c r="JR31" s="55"/>
      <c r="JS31" s="55"/>
      <c r="JT31" s="55"/>
      <c r="JU31" s="55"/>
      <c r="JV31" s="55"/>
      <c r="JW31" s="55"/>
      <c r="JX31" s="55"/>
      <c r="JY31" s="55"/>
      <c r="JZ31" s="55"/>
      <c r="KA31" s="55"/>
      <c r="KB31" s="55"/>
      <c r="KC31" s="55"/>
      <c r="KD31" s="55"/>
      <c r="KE31" s="55"/>
      <c r="KF31" s="55"/>
      <c r="KG31" s="55"/>
      <c r="KH31" s="55"/>
      <c r="KI31" s="55"/>
      <c r="KJ31" s="55"/>
      <c r="KK31" s="55"/>
      <c r="KL31" s="55"/>
      <c r="KM31" s="55"/>
      <c r="KN31" s="55"/>
      <c r="KO31" s="55"/>
      <c r="KP31" s="55"/>
      <c r="KQ31" s="55"/>
      <c r="KR31" s="55"/>
      <c r="KS31" s="55"/>
      <c r="KT31" s="55"/>
      <c r="KU31" s="55"/>
      <c r="KV31" s="55"/>
      <c r="KW31" s="55"/>
      <c r="KX31" s="55"/>
      <c r="KY31" s="55"/>
      <c r="KZ31" s="55"/>
      <c r="LA31" s="55"/>
      <c r="LB31" s="55"/>
      <c r="LC31" s="55"/>
      <c r="LD31" s="55"/>
      <c r="LE31" s="55"/>
      <c r="LF31" s="55"/>
      <c r="LG31" s="55"/>
      <c r="LH31" s="55"/>
      <c r="LI31" s="55"/>
      <c r="LJ31" s="55"/>
      <c r="LK31" s="55"/>
      <c r="LL31" s="55"/>
      <c r="LM31" s="55"/>
      <c r="LN31" s="55"/>
      <c r="LO31" s="55"/>
      <c r="LP31" s="55"/>
      <c r="LQ31" s="55"/>
      <c r="LR31" s="55"/>
      <c r="LS31" s="55"/>
      <c r="LT31" s="55"/>
      <c r="LU31" s="55"/>
      <c r="LV31" s="55"/>
      <c r="LW31" s="55"/>
      <c r="LX31" s="55"/>
      <c r="LY31" s="55"/>
      <c r="LZ31" s="55"/>
      <c r="MA31" s="55"/>
      <c r="MB31" s="55"/>
      <c r="MC31" s="55"/>
      <c r="MD31" s="55"/>
      <c r="ME31" s="55"/>
      <c r="MF31" s="55"/>
      <c r="MG31" s="55"/>
      <c r="MH31" s="55"/>
      <c r="MI31" s="55"/>
      <c r="MJ31" s="55"/>
      <c r="MK31" s="55"/>
      <c r="ML31" s="55"/>
      <c r="MM31" s="55"/>
      <c r="MN31" s="55"/>
      <c r="MO31" s="55"/>
      <c r="MP31" s="55"/>
      <c r="MQ31" s="55"/>
      <c r="MR31" s="55"/>
      <c r="MS31" s="55"/>
      <c r="MT31" s="55"/>
      <c r="MU31" s="55"/>
      <c r="MV31" s="55"/>
      <c r="MW31" s="55"/>
      <c r="MX31" s="55"/>
      <c r="MY31" s="55"/>
      <c r="MZ31" s="55"/>
      <c r="NA31" s="55"/>
      <c r="NB31" s="55"/>
      <c r="NC31" s="55"/>
      <c r="ND31" s="55"/>
      <c r="NE31" s="55"/>
      <c r="NF31" s="55"/>
      <c r="NG31" s="55"/>
      <c r="NH31" s="55"/>
      <c r="NI31" s="55"/>
      <c r="NJ31" s="55"/>
      <c r="NK31" s="55"/>
      <c r="NL31" s="55"/>
      <c r="NM31" s="55"/>
      <c r="NN31" s="55"/>
      <c r="NO31" s="55"/>
      <c r="NP31" s="55"/>
      <c r="NQ31" s="55"/>
      <c r="NR31" s="55"/>
      <c r="NS31" s="55"/>
      <c r="NT31" s="55"/>
      <c r="NU31" s="55"/>
      <c r="NV31" s="55"/>
      <c r="NW31" s="55"/>
      <c r="NX31" s="55"/>
      <c r="NY31" s="55"/>
      <c r="NZ31" s="55"/>
      <c r="OA31" s="55"/>
      <c r="OB31" s="55"/>
      <c r="OC31" s="55"/>
      <c r="OD31" s="55"/>
      <c r="OE31" s="55"/>
      <c r="OF31" s="55"/>
      <c r="OG31" s="55"/>
      <c r="OH31" s="55"/>
      <c r="OI31" s="55"/>
      <c r="OJ31" s="55"/>
      <c r="OK31" s="55"/>
      <c r="OL31" s="55"/>
      <c r="OM31" s="55"/>
      <c r="ON31" s="55"/>
      <c r="OO31" s="55"/>
      <c r="OP31" s="55"/>
      <c r="OQ31" s="55"/>
      <c r="OR31" s="55"/>
      <c r="OS31" s="55"/>
      <c r="OT31" s="55"/>
      <c r="OU31" s="55"/>
      <c r="OV31" s="55"/>
      <c r="OW31" s="55"/>
      <c r="OX31" s="55"/>
      <c r="OY31" s="55"/>
      <c r="OZ31" s="55"/>
      <c r="PA31" s="55"/>
      <c r="PB31" s="55"/>
      <c r="PC31" s="55"/>
      <c r="PD31" s="55"/>
      <c r="PE31" s="55"/>
      <c r="PF31" s="55"/>
      <c r="PG31" s="55"/>
      <c r="PH31" s="55"/>
      <c r="PI31" s="55"/>
      <c r="PJ31" s="55"/>
      <c r="PK31" s="55"/>
      <c r="PL31" s="55"/>
      <c r="PM31" s="55"/>
      <c r="PN31" s="55"/>
      <c r="PO31" s="55"/>
      <c r="PP31" s="55"/>
      <c r="PQ31" s="55"/>
      <c r="PR31" s="55"/>
    </row>
    <row r="32" spans="1:434" ht="21" customHeight="1">
      <c r="A32" s="6" t="s">
        <v>17</v>
      </c>
      <c r="B32" s="7">
        <v>3.2</v>
      </c>
      <c r="C32" s="8" t="s">
        <v>1</v>
      </c>
      <c r="D32" s="9"/>
      <c r="E32" s="9"/>
      <c r="F32" s="9"/>
      <c r="G32" s="9"/>
      <c r="H32" s="9"/>
      <c r="I32" s="62"/>
      <c r="J32" s="10"/>
      <c r="K32" s="62">
        <f>WORKDAY.INTL(I32,J32,1,parametre!C$2:C$18)</f>
        <v>0</v>
      </c>
      <c r="L32" s="37">
        <v>0</v>
      </c>
      <c r="M32" s="62">
        <f t="shared" si="435"/>
        <v>0</v>
      </c>
      <c r="N32" s="51"/>
      <c r="O32" s="52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6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  <c r="IW32" s="55"/>
      <c r="IX32" s="55"/>
      <c r="IY32" s="55"/>
      <c r="IZ32" s="55"/>
      <c r="JA32" s="55"/>
      <c r="JB32" s="55"/>
      <c r="JC32" s="55"/>
      <c r="JD32" s="55"/>
      <c r="JE32" s="55"/>
      <c r="JF32" s="55"/>
      <c r="JG32" s="55"/>
      <c r="JH32" s="55"/>
      <c r="JI32" s="55"/>
      <c r="JJ32" s="55"/>
      <c r="JK32" s="55"/>
      <c r="JL32" s="55"/>
      <c r="JM32" s="55"/>
      <c r="JN32" s="55"/>
      <c r="JO32" s="55"/>
      <c r="JP32" s="55"/>
      <c r="JQ32" s="55"/>
      <c r="JR32" s="55"/>
      <c r="JS32" s="55"/>
      <c r="JT32" s="55"/>
      <c r="JU32" s="55"/>
      <c r="JV32" s="55"/>
      <c r="JW32" s="55"/>
      <c r="JX32" s="55"/>
      <c r="JY32" s="55"/>
      <c r="JZ32" s="55"/>
      <c r="KA32" s="55"/>
      <c r="KB32" s="55"/>
      <c r="KC32" s="55"/>
      <c r="KD32" s="55"/>
      <c r="KE32" s="55"/>
      <c r="KF32" s="55"/>
      <c r="KG32" s="55"/>
      <c r="KH32" s="55"/>
      <c r="KI32" s="55"/>
      <c r="KJ32" s="55"/>
      <c r="KK32" s="55"/>
      <c r="KL32" s="55"/>
      <c r="KM32" s="55"/>
      <c r="KN32" s="55"/>
      <c r="KO32" s="55"/>
      <c r="KP32" s="55"/>
      <c r="KQ32" s="55"/>
      <c r="KR32" s="55"/>
      <c r="KS32" s="55"/>
      <c r="KT32" s="55"/>
      <c r="KU32" s="55"/>
      <c r="KV32" s="55"/>
      <c r="KW32" s="55"/>
      <c r="KX32" s="55"/>
      <c r="KY32" s="55"/>
      <c r="KZ32" s="55"/>
      <c r="LA32" s="55"/>
      <c r="LB32" s="55"/>
      <c r="LC32" s="55"/>
      <c r="LD32" s="55"/>
      <c r="LE32" s="55"/>
      <c r="LF32" s="55"/>
      <c r="LG32" s="55"/>
      <c r="LH32" s="55"/>
      <c r="LI32" s="55"/>
      <c r="LJ32" s="55"/>
      <c r="LK32" s="55"/>
      <c r="LL32" s="55"/>
      <c r="LM32" s="55"/>
      <c r="LN32" s="55"/>
      <c r="LO32" s="55"/>
      <c r="LP32" s="55"/>
      <c r="LQ32" s="55"/>
      <c r="LR32" s="55"/>
      <c r="LS32" s="55"/>
      <c r="LT32" s="55"/>
      <c r="LU32" s="55"/>
      <c r="LV32" s="55"/>
      <c r="LW32" s="55"/>
      <c r="LX32" s="55"/>
      <c r="LY32" s="55"/>
      <c r="LZ32" s="55"/>
      <c r="MA32" s="55"/>
      <c r="MB32" s="55"/>
      <c r="MC32" s="55"/>
      <c r="MD32" s="55"/>
      <c r="ME32" s="55"/>
      <c r="MF32" s="55"/>
      <c r="MG32" s="55"/>
      <c r="MH32" s="55"/>
      <c r="MI32" s="55"/>
      <c r="MJ32" s="55"/>
      <c r="MK32" s="55"/>
      <c r="ML32" s="55"/>
      <c r="MM32" s="55"/>
      <c r="MN32" s="55"/>
      <c r="MO32" s="55"/>
      <c r="MP32" s="55"/>
      <c r="MQ32" s="55"/>
      <c r="MR32" s="55"/>
      <c r="MS32" s="55"/>
      <c r="MT32" s="55"/>
      <c r="MU32" s="55"/>
      <c r="MV32" s="55"/>
      <c r="MW32" s="55"/>
      <c r="MX32" s="55"/>
      <c r="MY32" s="55"/>
      <c r="MZ32" s="55"/>
      <c r="NA32" s="55"/>
      <c r="NB32" s="55"/>
      <c r="NC32" s="55"/>
      <c r="ND32" s="55"/>
      <c r="NE32" s="55"/>
      <c r="NF32" s="55"/>
      <c r="NG32" s="55"/>
      <c r="NH32" s="55"/>
      <c r="NI32" s="55"/>
      <c r="NJ32" s="55"/>
      <c r="NK32" s="55"/>
      <c r="NL32" s="55"/>
      <c r="NM32" s="55"/>
      <c r="NN32" s="55"/>
      <c r="NO32" s="55"/>
      <c r="NP32" s="55"/>
      <c r="NQ32" s="55"/>
      <c r="NR32" s="55"/>
      <c r="NS32" s="55"/>
      <c r="NT32" s="55"/>
      <c r="NU32" s="55"/>
      <c r="NV32" s="55"/>
      <c r="NW32" s="55"/>
      <c r="NX32" s="55"/>
      <c r="NY32" s="55"/>
      <c r="NZ32" s="55"/>
      <c r="OA32" s="55"/>
      <c r="OB32" s="55"/>
      <c r="OC32" s="55"/>
      <c r="OD32" s="55"/>
      <c r="OE32" s="55"/>
      <c r="OF32" s="55"/>
      <c r="OG32" s="55"/>
      <c r="OH32" s="55"/>
      <c r="OI32" s="55"/>
      <c r="OJ32" s="55"/>
      <c r="OK32" s="55"/>
      <c r="OL32" s="55"/>
      <c r="OM32" s="55"/>
      <c r="ON32" s="55"/>
      <c r="OO32" s="55"/>
      <c r="OP32" s="55"/>
      <c r="OQ32" s="55"/>
      <c r="OR32" s="55"/>
      <c r="OS32" s="55"/>
      <c r="OT32" s="55"/>
      <c r="OU32" s="55"/>
      <c r="OV32" s="55"/>
      <c r="OW32" s="55"/>
      <c r="OX32" s="55"/>
      <c r="OY32" s="55"/>
      <c r="OZ32" s="55"/>
      <c r="PA32" s="55"/>
      <c r="PB32" s="55"/>
      <c r="PC32" s="55"/>
      <c r="PD32" s="55"/>
      <c r="PE32" s="55"/>
      <c r="PF32" s="55"/>
      <c r="PG32" s="55"/>
      <c r="PH32" s="55"/>
      <c r="PI32" s="55"/>
      <c r="PJ32" s="55"/>
      <c r="PK32" s="55"/>
      <c r="PL32" s="55"/>
      <c r="PM32" s="55"/>
      <c r="PN32" s="55"/>
      <c r="PO32" s="55"/>
      <c r="PP32" s="55"/>
      <c r="PQ32" s="55"/>
      <c r="PR32" s="55"/>
    </row>
    <row r="33" spans="1:434" ht="21" customHeight="1">
      <c r="A33" s="6" t="s">
        <v>17</v>
      </c>
      <c r="B33" s="7">
        <v>3.2</v>
      </c>
      <c r="C33" s="8" t="s">
        <v>2</v>
      </c>
      <c r="D33" s="9"/>
      <c r="E33" s="9"/>
      <c r="F33" s="9"/>
      <c r="G33" s="9"/>
      <c r="H33" s="9"/>
      <c r="I33" s="62"/>
      <c r="J33" s="10"/>
      <c r="K33" s="62">
        <f>WORKDAY.INTL(I33,J33,1,parametre!C$2:C$18)</f>
        <v>0</v>
      </c>
      <c r="L33" s="37">
        <v>0</v>
      </c>
      <c r="M33" s="62">
        <f t="shared" si="435"/>
        <v>0</v>
      </c>
      <c r="N33" s="51"/>
      <c r="O33" s="52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6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  <c r="FJ33" s="55"/>
      <c r="FK33" s="55"/>
      <c r="FL33" s="55"/>
      <c r="FM33" s="55"/>
      <c r="FN33" s="55"/>
      <c r="FO33" s="55"/>
      <c r="FP33" s="55"/>
      <c r="FQ33" s="55"/>
      <c r="FR33" s="55"/>
      <c r="FS33" s="55"/>
      <c r="FT33" s="55"/>
      <c r="FU33" s="55"/>
      <c r="FV33" s="55"/>
      <c r="FW33" s="55"/>
      <c r="FX33" s="55"/>
      <c r="FY33" s="55"/>
      <c r="FZ33" s="55"/>
      <c r="GA33" s="55"/>
      <c r="GB33" s="55"/>
      <c r="GC33" s="55"/>
      <c r="GD33" s="55"/>
      <c r="GE33" s="55"/>
      <c r="GF33" s="55"/>
      <c r="GG33" s="55"/>
      <c r="GH33" s="55"/>
      <c r="GI33" s="55"/>
      <c r="GJ33" s="55"/>
      <c r="GK33" s="55"/>
      <c r="GL33" s="55"/>
      <c r="GM33" s="55"/>
      <c r="GN33" s="55"/>
      <c r="GO33" s="55"/>
      <c r="GP33" s="55"/>
      <c r="GQ33" s="55"/>
      <c r="GR33" s="55"/>
      <c r="GS33" s="55"/>
      <c r="GT33" s="55"/>
      <c r="GU33" s="55"/>
      <c r="GV33" s="55"/>
      <c r="GW33" s="55"/>
      <c r="GX33" s="55"/>
      <c r="GY33" s="55"/>
      <c r="GZ33" s="55"/>
      <c r="HA33" s="55"/>
      <c r="HB33" s="55"/>
      <c r="HC33" s="55"/>
      <c r="HD33" s="55"/>
      <c r="HE33" s="55"/>
      <c r="HF33" s="55"/>
      <c r="HG33" s="55"/>
      <c r="HH33" s="55"/>
      <c r="HI33" s="55"/>
      <c r="HJ33" s="55"/>
      <c r="HK33" s="55"/>
      <c r="HL33" s="55"/>
      <c r="HM33" s="55"/>
      <c r="HN33" s="55"/>
      <c r="HO33" s="55"/>
      <c r="HP33" s="55"/>
      <c r="HQ33" s="55"/>
      <c r="HR33" s="55"/>
      <c r="HS33" s="55"/>
      <c r="HT33" s="55"/>
      <c r="HU33" s="55"/>
      <c r="HV33" s="55"/>
      <c r="HW33" s="55"/>
      <c r="HX33" s="55"/>
      <c r="HY33" s="55"/>
      <c r="HZ33" s="55"/>
      <c r="IA33" s="55"/>
      <c r="IB33" s="55"/>
      <c r="IC33" s="55"/>
      <c r="ID33" s="55"/>
      <c r="IE33" s="55"/>
      <c r="IF33" s="55"/>
      <c r="IG33" s="55"/>
      <c r="IH33" s="55"/>
      <c r="II33" s="55"/>
      <c r="IJ33" s="55"/>
      <c r="IK33" s="55"/>
      <c r="IL33" s="55"/>
      <c r="IM33" s="55"/>
      <c r="IN33" s="55"/>
      <c r="IO33" s="55"/>
      <c r="IP33" s="55"/>
      <c r="IQ33" s="55"/>
      <c r="IR33" s="55"/>
      <c r="IS33" s="55"/>
      <c r="IT33" s="55"/>
      <c r="IU33" s="55"/>
      <c r="IV33" s="55"/>
      <c r="IW33" s="55"/>
      <c r="IX33" s="55"/>
      <c r="IY33" s="55"/>
      <c r="IZ33" s="55"/>
      <c r="JA33" s="55"/>
      <c r="JB33" s="55"/>
      <c r="JC33" s="55"/>
      <c r="JD33" s="55"/>
      <c r="JE33" s="55"/>
      <c r="JF33" s="55"/>
      <c r="JG33" s="55"/>
      <c r="JH33" s="55"/>
      <c r="JI33" s="55"/>
      <c r="JJ33" s="55"/>
      <c r="JK33" s="55"/>
      <c r="JL33" s="55"/>
      <c r="JM33" s="55"/>
      <c r="JN33" s="55"/>
      <c r="JO33" s="55"/>
      <c r="JP33" s="55"/>
      <c r="JQ33" s="55"/>
      <c r="JR33" s="55"/>
      <c r="JS33" s="55"/>
      <c r="JT33" s="55"/>
      <c r="JU33" s="55"/>
      <c r="JV33" s="55"/>
      <c r="JW33" s="55"/>
      <c r="JX33" s="55"/>
      <c r="JY33" s="55"/>
      <c r="JZ33" s="55"/>
      <c r="KA33" s="55"/>
      <c r="KB33" s="55"/>
      <c r="KC33" s="55"/>
      <c r="KD33" s="55"/>
      <c r="KE33" s="55"/>
      <c r="KF33" s="55"/>
      <c r="KG33" s="55"/>
      <c r="KH33" s="55"/>
      <c r="KI33" s="55"/>
      <c r="KJ33" s="55"/>
      <c r="KK33" s="55"/>
      <c r="KL33" s="55"/>
      <c r="KM33" s="55"/>
      <c r="KN33" s="55"/>
      <c r="KO33" s="55"/>
      <c r="KP33" s="55"/>
      <c r="KQ33" s="55"/>
      <c r="KR33" s="55"/>
      <c r="KS33" s="55"/>
      <c r="KT33" s="55"/>
      <c r="KU33" s="55"/>
      <c r="KV33" s="55"/>
      <c r="KW33" s="55"/>
      <c r="KX33" s="55"/>
      <c r="KY33" s="55"/>
      <c r="KZ33" s="55"/>
      <c r="LA33" s="55"/>
      <c r="LB33" s="55"/>
      <c r="LC33" s="55"/>
      <c r="LD33" s="55"/>
      <c r="LE33" s="55"/>
      <c r="LF33" s="55"/>
      <c r="LG33" s="55"/>
      <c r="LH33" s="55"/>
      <c r="LI33" s="55"/>
      <c r="LJ33" s="55"/>
      <c r="LK33" s="55"/>
      <c r="LL33" s="55"/>
      <c r="LM33" s="55"/>
      <c r="LN33" s="55"/>
      <c r="LO33" s="55"/>
      <c r="LP33" s="55"/>
      <c r="LQ33" s="55"/>
      <c r="LR33" s="55"/>
      <c r="LS33" s="55"/>
      <c r="LT33" s="55"/>
      <c r="LU33" s="55"/>
      <c r="LV33" s="55"/>
      <c r="LW33" s="55"/>
      <c r="LX33" s="55"/>
      <c r="LY33" s="55"/>
      <c r="LZ33" s="55"/>
      <c r="MA33" s="55"/>
      <c r="MB33" s="55"/>
      <c r="MC33" s="55"/>
      <c r="MD33" s="55"/>
      <c r="ME33" s="55"/>
      <c r="MF33" s="55"/>
      <c r="MG33" s="55"/>
      <c r="MH33" s="55"/>
      <c r="MI33" s="55"/>
      <c r="MJ33" s="55"/>
      <c r="MK33" s="55"/>
      <c r="ML33" s="55"/>
      <c r="MM33" s="55"/>
      <c r="MN33" s="55"/>
      <c r="MO33" s="55"/>
      <c r="MP33" s="55"/>
      <c r="MQ33" s="55"/>
      <c r="MR33" s="55"/>
      <c r="MS33" s="55"/>
      <c r="MT33" s="55"/>
      <c r="MU33" s="55"/>
      <c r="MV33" s="55"/>
      <c r="MW33" s="55"/>
      <c r="MX33" s="55"/>
      <c r="MY33" s="55"/>
      <c r="MZ33" s="55"/>
      <c r="NA33" s="55"/>
      <c r="NB33" s="55"/>
      <c r="NC33" s="55"/>
      <c r="ND33" s="55"/>
      <c r="NE33" s="55"/>
      <c r="NF33" s="55"/>
      <c r="NG33" s="55"/>
      <c r="NH33" s="55"/>
      <c r="NI33" s="55"/>
      <c r="NJ33" s="55"/>
      <c r="NK33" s="55"/>
      <c r="NL33" s="55"/>
      <c r="NM33" s="55"/>
      <c r="NN33" s="55"/>
      <c r="NO33" s="55"/>
      <c r="NP33" s="55"/>
      <c r="NQ33" s="55"/>
      <c r="NR33" s="55"/>
      <c r="NS33" s="55"/>
      <c r="NT33" s="55"/>
      <c r="NU33" s="55"/>
      <c r="NV33" s="55"/>
      <c r="NW33" s="55"/>
      <c r="NX33" s="55"/>
      <c r="NY33" s="55"/>
      <c r="NZ33" s="55"/>
      <c r="OA33" s="55"/>
      <c r="OB33" s="55"/>
      <c r="OC33" s="55"/>
      <c r="OD33" s="55"/>
      <c r="OE33" s="55"/>
      <c r="OF33" s="55"/>
      <c r="OG33" s="55"/>
      <c r="OH33" s="55"/>
      <c r="OI33" s="55"/>
      <c r="OJ33" s="55"/>
      <c r="OK33" s="55"/>
      <c r="OL33" s="55"/>
      <c r="OM33" s="55"/>
      <c r="ON33" s="55"/>
      <c r="OO33" s="55"/>
      <c r="OP33" s="55"/>
      <c r="OQ33" s="55"/>
      <c r="OR33" s="55"/>
      <c r="OS33" s="55"/>
      <c r="OT33" s="55"/>
      <c r="OU33" s="55"/>
      <c r="OV33" s="55"/>
      <c r="OW33" s="55"/>
      <c r="OX33" s="55"/>
      <c r="OY33" s="55"/>
      <c r="OZ33" s="55"/>
      <c r="PA33" s="55"/>
      <c r="PB33" s="55"/>
      <c r="PC33" s="55"/>
      <c r="PD33" s="55"/>
      <c r="PE33" s="55"/>
      <c r="PF33" s="55"/>
      <c r="PG33" s="55"/>
      <c r="PH33" s="55"/>
      <c r="PI33" s="55"/>
      <c r="PJ33" s="55"/>
      <c r="PK33" s="55"/>
      <c r="PL33" s="55"/>
      <c r="PM33" s="55"/>
      <c r="PN33" s="55"/>
      <c r="PO33" s="55"/>
      <c r="PP33" s="55"/>
      <c r="PQ33" s="55"/>
      <c r="PR33" s="55"/>
    </row>
    <row r="34" spans="1:434" ht="21" customHeight="1">
      <c r="A34" s="6" t="s">
        <v>17</v>
      </c>
      <c r="B34" s="7">
        <v>3.3</v>
      </c>
      <c r="C34" s="8" t="s">
        <v>1</v>
      </c>
      <c r="D34" s="9"/>
      <c r="E34" s="9"/>
      <c r="F34" s="9"/>
      <c r="G34" s="9"/>
      <c r="H34" s="9"/>
      <c r="I34" s="62"/>
      <c r="J34" s="10"/>
      <c r="K34" s="62">
        <f>WORKDAY.INTL(I34,J34,1,parametre!C$2:C$18)</f>
        <v>0</v>
      </c>
      <c r="L34" s="37">
        <v>0</v>
      </c>
      <c r="M34" s="62">
        <f t="shared" si="435"/>
        <v>0</v>
      </c>
      <c r="N34" s="51"/>
      <c r="O34" s="52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6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  <c r="IW34" s="55"/>
      <c r="IX34" s="55"/>
      <c r="IY34" s="55"/>
      <c r="IZ34" s="55"/>
      <c r="JA34" s="55"/>
      <c r="JB34" s="55"/>
      <c r="JC34" s="55"/>
      <c r="JD34" s="55"/>
      <c r="JE34" s="55"/>
      <c r="JF34" s="55"/>
      <c r="JG34" s="55"/>
      <c r="JH34" s="55"/>
      <c r="JI34" s="55"/>
      <c r="JJ34" s="55"/>
      <c r="JK34" s="55"/>
      <c r="JL34" s="55"/>
      <c r="JM34" s="55"/>
      <c r="JN34" s="55"/>
      <c r="JO34" s="55"/>
      <c r="JP34" s="55"/>
      <c r="JQ34" s="55"/>
      <c r="JR34" s="55"/>
      <c r="JS34" s="55"/>
      <c r="JT34" s="55"/>
      <c r="JU34" s="55"/>
      <c r="JV34" s="55"/>
      <c r="JW34" s="55"/>
      <c r="JX34" s="55"/>
      <c r="JY34" s="55"/>
      <c r="JZ34" s="55"/>
      <c r="KA34" s="55"/>
      <c r="KB34" s="55"/>
      <c r="KC34" s="55"/>
      <c r="KD34" s="55"/>
      <c r="KE34" s="55"/>
      <c r="KF34" s="55"/>
      <c r="KG34" s="55"/>
      <c r="KH34" s="55"/>
      <c r="KI34" s="55"/>
      <c r="KJ34" s="55"/>
      <c r="KK34" s="55"/>
      <c r="KL34" s="55"/>
      <c r="KM34" s="55"/>
      <c r="KN34" s="55"/>
      <c r="KO34" s="55"/>
      <c r="KP34" s="55"/>
      <c r="KQ34" s="55"/>
      <c r="KR34" s="55"/>
      <c r="KS34" s="55"/>
      <c r="KT34" s="55"/>
      <c r="KU34" s="55"/>
      <c r="KV34" s="55"/>
      <c r="KW34" s="55"/>
      <c r="KX34" s="55"/>
      <c r="KY34" s="55"/>
      <c r="KZ34" s="55"/>
      <c r="LA34" s="55"/>
      <c r="LB34" s="55"/>
      <c r="LC34" s="55"/>
      <c r="LD34" s="55"/>
      <c r="LE34" s="55"/>
      <c r="LF34" s="55"/>
      <c r="LG34" s="55"/>
      <c r="LH34" s="55"/>
      <c r="LI34" s="55"/>
      <c r="LJ34" s="55"/>
      <c r="LK34" s="55"/>
      <c r="LL34" s="55"/>
      <c r="LM34" s="55"/>
      <c r="LN34" s="55"/>
      <c r="LO34" s="55"/>
      <c r="LP34" s="55"/>
      <c r="LQ34" s="55"/>
      <c r="LR34" s="55"/>
      <c r="LS34" s="55"/>
      <c r="LT34" s="55"/>
      <c r="LU34" s="55"/>
      <c r="LV34" s="55"/>
      <c r="LW34" s="55"/>
      <c r="LX34" s="55"/>
      <c r="LY34" s="55"/>
      <c r="LZ34" s="55"/>
      <c r="MA34" s="55"/>
      <c r="MB34" s="55"/>
      <c r="MC34" s="55"/>
      <c r="MD34" s="55"/>
      <c r="ME34" s="55"/>
      <c r="MF34" s="55"/>
      <c r="MG34" s="55"/>
      <c r="MH34" s="55"/>
      <c r="MI34" s="55"/>
      <c r="MJ34" s="55"/>
      <c r="MK34" s="55"/>
      <c r="ML34" s="55"/>
      <c r="MM34" s="55"/>
      <c r="MN34" s="55"/>
      <c r="MO34" s="55"/>
      <c r="MP34" s="55"/>
      <c r="MQ34" s="55"/>
      <c r="MR34" s="55"/>
      <c r="MS34" s="55"/>
      <c r="MT34" s="55"/>
      <c r="MU34" s="55"/>
      <c r="MV34" s="55"/>
      <c r="MW34" s="55"/>
      <c r="MX34" s="55"/>
      <c r="MY34" s="55"/>
      <c r="MZ34" s="55"/>
      <c r="NA34" s="55"/>
      <c r="NB34" s="55"/>
      <c r="NC34" s="55"/>
      <c r="ND34" s="55"/>
      <c r="NE34" s="55"/>
      <c r="NF34" s="55"/>
      <c r="NG34" s="55"/>
      <c r="NH34" s="55"/>
      <c r="NI34" s="55"/>
      <c r="NJ34" s="55"/>
      <c r="NK34" s="55"/>
      <c r="NL34" s="55"/>
      <c r="NM34" s="55"/>
      <c r="NN34" s="55"/>
      <c r="NO34" s="55"/>
      <c r="NP34" s="55"/>
      <c r="NQ34" s="55"/>
      <c r="NR34" s="55"/>
      <c r="NS34" s="55"/>
      <c r="NT34" s="55"/>
      <c r="NU34" s="55"/>
      <c r="NV34" s="55"/>
      <c r="NW34" s="55"/>
      <c r="NX34" s="55"/>
      <c r="NY34" s="55"/>
      <c r="NZ34" s="55"/>
      <c r="OA34" s="55"/>
      <c r="OB34" s="55"/>
      <c r="OC34" s="55"/>
      <c r="OD34" s="55"/>
      <c r="OE34" s="55"/>
      <c r="OF34" s="55"/>
      <c r="OG34" s="55"/>
      <c r="OH34" s="55"/>
      <c r="OI34" s="55"/>
      <c r="OJ34" s="55"/>
      <c r="OK34" s="55"/>
      <c r="OL34" s="55"/>
      <c r="OM34" s="55"/>
      <c r="ON34" s="55"/>
      <c r="OO34" s="55"/>
      <c r="OP34" s="55"/>
      <c r="OQ34" s="55"/>
      <c r="OR34" s="55"/>
      <c r="OS34" s="55"/>
      <c r="OT34" s="55"/>
      <c r="OU34" s="55"/>
      <c r="OV34" s="55"/>
      <c r="OW34" s="55"/>
      <c r="OX34" s="55"/>
      <c r="OY34" s="55"/>
      <c r="OZ34" s="55"/>
      <c r="PA34" s="55"/>
      <c r="PB34" s="55"/>
      <c r="PC34" s="55"/>
      <c r="PD34" s="55"/>
      <c r="PE34" s="55"/>
      <c r="PF34" s="55"/>
      <c r="PG34" s="55"/>
      <c r="PH34" s="55"/>
      <c r="PI34" s="55"/>
      <c r="PJ34" s="55"/>
      <c r="PK34" s="55"/>
      <c r="PL34" s="55"/>
      <c r="PM34" s="55"/>
      <c r="PN34" s="55"/>
      <c r="PO34" s="55"/>
      <c r="PP34" s="55"/>
      <c r="PQ34" s="55"/>
      <c r="PR34" s="55"/>
    </row>
    <row r="35" spans="1:434" ht="21" customHeight="1">
      <c r="A35" s="6" t="s">
        <v>17</v>
      </c>
      <c r="B35" s="7">
        <v>3.3</v>
      </c>
      <c r="C35" s="8" t="s">
        <v>2</v>
      </c>
      <c r="D35" s="9"/>
      <c r="E35" s="9"/>
      <c r="F35" s="9"/>
      <c r="G35" s="9"/>
      <c r="H35" s="9"/>
      <c r="I35" s="62"/>
      <c r="J35" s="10"/>
      <c r="K35" s="62">
        <f>WORKDAY.INTL(I35,J35,1,parametre!C$2:C$18)</f>
        <v>0</v>
      </c>
      <c r="L35" s="37">
        <v>0</v>
      </c>
      <c r="M35" s="62">
        <f t="shared" si="435"/>
        <v>0</v>
      </c>
      <c r="N35" s="51"/>
      <c r="O35" s="52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6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  <c r="IW35" s="55"/>
      <c r="IX35" s="55"/>
      <c r="IY35" s="55"/>
      <c r="IZ35" s="55"/>
      <c r="JA35" s="55"/>
      <c r="JB35" s="55"/>
      <c r="JC35" s="55"/>
      <c r="JD35" s="55"/>
      <c r="JE35" s="55"/>
      <c r="JF35" s="55"/>
      <c r="JG35" s="55"/>
      <c r="JH35" s="55"/>
      <c r="JI35" s="55"/>
      <c r="JJ35" s="55"/>
      <c r="JK35" s="55"/>
      <c r="JL35" s="55"/>
      <c r="JM35" s="55"/>
      <c r="JN35" s="55"/>
      <c r="JO35" s="55"/>
      <c r="JP35" s="55"/>
      <c r="JQ35" s="55"/>
      <c r="JR35" s="55"/>
      <c r="JS35" s="55"/>
      <c r="JT35" s="55"/>
      <c r="JU35" s="55"/>
      <c r="JV35" s="55"/>
      <c r="JW35" s="55"/>
      <c r="JX35" s="55"/>
      <c r="JY35" s="55"/>
      <c r="JZ35" s="55"/>
      <c r="KA35" s="55"/>
      <c r="KB35" s="55"/>
      <c r="KC35" s="55"/>
      <c r="KD35" s="55"/>
      <c r="KE35" s="55"/>
      <c r="KF35" s="55"/>
      <c r="KG35" s="55"/>
      <c r="KH35" s="55"/>
      <c r="KI35" s="55"/>
      <c r="KJ35" s="55"/>
      <c r="KK35" s="55"/>
      <c r="KL35" s="55"/>
      <c r="KM35" s="55"/>
      <c r="KN35" s="55"/>
      <c r="KO35" s="55"/>
      <c r="KP35" s="55"/>
      <c r="KQ35" s="55"/>
      <c r="KR35" s="55"/>
      <c r="KS35" s="55"/>
      <c r="KT35" s="55"/>
      <c r="KU35" s="55"/>
      <c r="KV35" s="55"/>
      <c r="KW35" s="55"/>
      <c r="KX35" s="55"/>
      <c r="KY35" s="55"/>
      <c r="KZ35" s="55"/>
      <c r="LA35" s="55"/>
      <c r="LB35" s="55"/>
      <c r="LC35" s="55"/>
      <c r="LD35" s="55"/>
      <c r="LE35" s="55"/>
      <c r="LF35" s="55"/>
      <c r="LG35" s="55"/>
      <c r="LH35" s="55"/>
      <c r="LI35" s="55"/>
      <c r="LJ35" s="55"/>
      <c r="LK35" s="55"/>
      <c r="LL35" s="55"/>
      <c r="LM35" s="55"/>
      <c r="LN35" s="55"/>
      <c r="LO35" s="55"/>
      <c r="LP35" s="55"/>
      <c r="LQ35" s="55"/>
      <c r="LR35" s="55"/>
      <c r="LS35" s="55"/>
      <c r="LT35" s="55"/>
      <c r="LU35" s="55"/>
      <c r="LV35" s="55"/>
      <c r="LW35" s="55"/>
      <c r="LX35" s="55"/>
      <c r="LY35" s="55"/>
      <c r="LZ35" s="55"/>
      <c r="MA35" s="55"/>
      <c r="MB35" s="55"/>
      <c r="MC35" s="55"/>
      <c r="MD35" s="55"/>
      <c r="ME35" s="55"/>
      <c r="MF35" s="55"/>
      <c r="MG35" s="55"/>
      <c r="MH35" s="55"/>
      <c r="MI35" s="55"/>
      <c r="MJ35" s="55"/>
      <c r="MK35" s="55"/>
      <c r="ML35" s="55"/>
      <c r="MM35" s="55"/>
      <c r="MN35" s="55"/>
      <c r="MO35" s="55"/>
      <c r="MP35" s="55"/>
      <c r="MQ35" s="55"/>
      <c r="MR35" s="55"/>
      <c r="MS35" s="55"/>
      <c r="MT35" s="55"/>
      <c r="MU35" s="55"/>
      <c r="MV35" s="55"/>
      <c r="MW35" s="55"/>
      <c r="MX35" s="55"/>
      <c r="MY35" s="55"/>
      <c r="MZ35" s="55"/>
      <c r="NA35" s="55"/>
      <c r="NB35" s="55"/>
      <c r="NC35" s="55"/>
      <c r="ND35" s="55"/>
      <c r="NE35" s="55"/>
      <c r="NF35" s="55"/>
      <c r="NG35" s="55"/>
      <c r="NH35" s="55"/>
      <c r="NI35" s="55"/>
      <c r="NJ35" s="55"/>
      <c r="NK35" s="55"/>
      <c r="NL35" s="55"/>
      <c r="NM35" s="55"/>
      <c r="NN35" s="55"/>
      <c r="NO35" s="55"/>
      <c r="NP35" s="55"/>
      <c r="NQ35" s="55"/>
      <c r="NR35" s="55"/>
      <c r="NS35" s="55"/>
      <c r="NT35" s="55"/>
      <c r="NU35" s="55"/>
      <c r="NV35" s="55"/>
      <c r="NW35" s="55"/>
      <c r="NX35" s="55"/>
      <c r="NY35" s="55"/>
      <c r="NZ35" s="55"/>
      <c r="OA35" s="55"/>
      <c r="OB35" s="55"/>
      <c r="OC35" s="55"/>
      <c r="OD35" s="55"/>
      <c r="OE35" s="55"/>
      <c r="OF35" s="55"/>
      <c r="OG35" s="55"/>
      <c r="OH35" s="55"/>
      <c r="OI35" s="55"/>
      <c r="OJ35" s="55"/>
      <c r="OK35" s="55"/>
      <c r="OL35" s="55"/>
      <c r="OM35" s="55"/>
      <c r="ON35" s="55"/>
      <c r="OO35" s="55"/>
      <c r="OP35" s="55"/>
      <c r="OQ35" s="55"/>
      <c r="OR35" s="55"/>
      <c r="OS35" s="55"/>
      <c r="OT35" s="55"/>
      <c r="OU35" s="55"/>
      <c r="OV35" s="55"/>
      <c r="OW35" s="55"/>
      <c r="OX35" s="55"/>
      <c r="OY35" s="55"/>
      <c r="OZ35" s="55"/>
      <c r="PA35" s="55"/>
      <c r="PB35" s="55"/>
      <c r="PC35" s="55"/>
      <c r="PD35" s="55"/>
      <c r="PE35" s="55"/>
      <c r="PF35" s="55"/>
      <c r="PG35" s="55"/>
      <c r="PH35" s="55"/>
      <c r="PI35" s="55"/>
      <c r="PJ35" s="55"/>
      <c r="PK35" s="55"/>
      <c r="PL35" s="55"/>
      <c r="PM35" s="55"/>
      <c r="PN35" s="55"/>
      <c r="PO35" s="55"/>
      <c r="PP35" s="55"/>
      <c r="PQ35" s="55"/>
      <c r="PR35" s="55"/>
    </row>
    <row r="36" spans="1:434" ht="15.75" customHeight="1">
      <c r="C36" s="11"/>
    </row>
  </sheetData>
  <autoFilter ref="B8:M35"/>
  <mergeCells count="31">
    <mergeCell ref="B4:D4"/>
    <mergeCell ref="N3:S3"/>
    <mergeCell ref="T3:AC3"/>
    <mergeCell ref="S1:AC1"/>
    <mergeCell ref="B2:D2"/>
    <mergeCell ref="E2:K2"/>
    <mergeCell ref="N2:S2"/>
    <mergeCell ref="T2:AC2"/>
    <mergeCell ref="B1:L1"/>
    <mergeCell ref="N1:R1"/>
    <mergeCell ref="B3:D3"/>
    <mergeCell ref="E3:K3"/>
    <mergeCell ref="N4:S4"/>
    <mergeCell ref="T4:AC4"/>
    <mergeCell ref="E4:M4"/>
    <mergeCell ref="M8:M10"/>
    <mergeCell ref="B5:C5"/>
    <mergeCell ref="B6:C6"/>
    <mergeCell ref="E5:I5"/>
    <mergeCell ref="E6:I6"/>
    <mergeCell ref="B8:B10"/>
    <mergeCell ref="J8:J10"/>
    <mergeCell ref="C8:C10"/>
    <mergeCell ref="D8:D10"/>
    <mergeCell ref="E8:E10"/>
    <mergeCell ref="I8:I10"/>
    <mergeCell ref="K8:K10"/>
    <mergeCell ref="L8:L10"/>
    <mergeCell ref="F8:F10"/>
    <mergeCell ref="G8:G10"/>
    <mergeCell ref="H8:H10"/>
  </mergeCells>
  <conditionalFormatting sqref="N8:PR8">
    <cfRule type="expression" dxfId="28" priority="42">
      <formula>MOD(MONTH(N10),2)=0</formula>
    </cfRule>
    <cfRule type="expression" dxfId="27" priority="43">
      <formula>MOD(MONTH(N10),2)=1</formula>
    </cfRule>
  </conditionalFormatting>
  <conditionalFormatting sqref="N9:PR9">
    <cfRule type="expression" dxfId="26" priority="40">
      <formula>MOD(WEEKNUM(N10,2),2)=0</formula>
    </cfRule>
    <cfRule type="expression" dxfId="25" priority="41">
      <formula>MOD(WEEKNUM(N10,2),2)=1</formula>
    </cfRule>
  </conditionalFormatting>
  <conditionalFormatting sqref="N10:PR10">
    <cfRule type="expression" dxfId="24" priority="38">
      <formula>WEEKDAY(N$10,2)&gt;5</formula>
    </cfRule>
  </conditionalFormatting>
  <conditionalFormatting sqref="N11:PR13 N15:PR16 N18:PR19 N21:PR26 N28:PR30">
    <cfRule type="expression" dxfId="23" priority="30">
      <formula>AND(N$10&gt;=$I11,N$10&lt;=$K11,N$10&lt;=$M11,$L11&gt;0)</formula>
    </cfRule>
    <cfRule type="expression" dxfId="22" priority="33">
      <formula>AND(N$10&gt;=$I11,N$10&lt;=$K11)</formula>
    </cfRule>
    <cfRule type="expression" dxfId="21" priority="60">
      <formula>WEEKDAY(N$10,2)&gt;5</formula>
    </cfRule>
  </conditionalFormatting>
  <conditionalFormatting sqref="L11:L13 L15:L16 L18:L19 L21">
    <cfRule type="dataBar" priority="6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{2FB77C89-8DC2-4BC5-9177-C26C04BDAC76}</x14:id>
        </ext>
      </extLst>
    </cfRule>
  </conditionalFormatting>
  <conditionalFormatting sqref="N10:PR13 N15:PR16 N18:PR19 N21:PR26 N28:PR30">
    <cfRule type="expression" dxfId="20" priority="67">
      <formula>N$10=$T$3</formula>
    </cfRule>
  </conditionalFormatting>
  <conditionalFormatting sqref="L22">
    <cfRule type="dataBar" priority="2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{A219D4F6-EC38-4307-A09A-C2FDB596489D}</x14:id>
        </ext>
      </extLst>
    </cfRule>
  </conditionalFormatting>
  <conditionalFormatting sqref="L29">
    <cfRule type="dataBar" priority="2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{93C88267-9BC2-45EC-8BBC-A9AE702DBE62}</x14:id>
        </ext>
      </extLst>
    </cfRule>
  </conditionalFormatting>
  <conditionalFormatting sqref="N14:PR14">
    <cfRule type="expression" dxfId="19" priority="23">
      <formula>AND(N$10&gt;=$I14,N$10&lt;=$K14,N$10&lt;=$M14,$L14&gt;0)</formula>
    </cfRule>
    <cfRule type="expression" dxfId="18" priority="24">
      <formula>AND(N$10&gt;=$I14,N$10&lt;=$K14)</formula>
    </cfRule>
    <cfRule type="expression" dxfId="17" priority="25">
      <formula>WEEKDAY(N$10,2)&gt;5</formula>
    </cfRule>
  </conditionalFormatting>
  <conditionalFormatting sqref="L14">
    <cfRule type="dataBar" priority="2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{2519B011-5B1E-4C75-90F2-51EE67501AE8}</x14:id>
        </ext>
      </extLst>
    </cfRule>
  </conditionalFormatting>
  <conditionalFormatting sqref="N14:PR14">
    <cfRule type="expression" dxfId="16" priority="27">
      <formula>N$10=$T$3</formula>
    </cfRule>
  </conditionalFormatting>
  <conditionalFormatting sqref="N17:PR17">
    <cfRule type="expression" dxfId="15" priority="18">
      <formula>AND(N$10&gt;=$I17,N$10&lt;=$K17,N$10&lt;=$M17,$L17&gt;0)</formula>
    </cfRule>
    <cfRule type="expression" dxfId="14" priority="19">
      <formula>AND(N$10&gt;=$I17,N$10&lt;=$K17)</formula>
    </cfRule>
    <cfRule type="expression" dxfId="13" priority="20">
      <formula>WEEKDAY(N$10,2)&gt;5</formula>
    </cfRule>
  </conditionalFormatting>
  <conditionalFormatting sqref="L17">
    <cfRule type="dataBar" priority="2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{60906612-A512-48AA-8775-1FB5A4012417}</x14:id>
        </ext>
      </extLst>
    </cfRule>
  </conditionalFormatting>
  <conditionalFormatting sqref="N17:PR17">
    <cfRule type="expression" dxfId="12" priority="22">
      <formula>N$10=$T$3</formula>
    </cfRule>
  </conditionalFormatting>
  <conditionalFormatting sqref="L23:L26 L28">
    <cfRule type="dataBar" priority="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{DF4F28DA-3035-4063-ACA7-DCA53D194B7C}</x14:id>
        </ext>
      </extLst>
    </cfRule>
  </conditionalFormatting>
  <conditionalFormatting sqref="L30">
    <cfRule type="dataBar" priority="1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{A127A70A-5374-492C-9A3D-0B6F04D06681}</x14:id>
        </ext>
      </extLst>
    </cfRule>
  </conditionalFormatting>
  <conditionalFormatting sqref="N31:PR35">
    <cfRule type="expression" dxfId="11" priority="12">
      <formula>AND(N$10&gt;=$I31,N$10&lt;=$K31,N$10&lt;=$M31,$L31&gt;0)</formula>
    </cfRule>
    <cfRule type="expression" dxfId="10" priority="13">
      <formula>AND(N$10&gt;=$I31,N$10&lt;=$K31)</formula>
    </cfRule>
    <cfRule type="expression" dxfId="9" priority="14">
      <formula>WEEKDAY(N$10,2)&gt;5</formula>
    </cfRule>
  </conditionalFormatting>
  <conditionalFormatting sqref="N31:PR35">
    <cfRule type="expression" dxfId="8" priority="15">
      <formula>N$10=$T$3</formula>
    </cfRule>
  </conditionalFormatting>
  <conditionalFormatting sqref="L31:L35">
    <cfRule type="dataBar" priority="1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{AE6CEDF1-07EA-4A95-8647-69767E12BC25}</x14:id>
        </ext>
      </extLst>
    </cfRule>
  </conditionalFormatting>
  <conditionalFormatting sqref="N20:PR20">
    <cfRule type="expression" dxfId="7" priority="6">
      <formula>AND(N$10&gt;=$I20,N$10&lt;=$K20,N$10&lt;=$M20,$L20&gt;0)</formula>
    </cfRule>
    <cfRule type="expression" dxfId="6" priority="7">
      <formula>AND(N$10&gt;=$I20,N$10&lt;=$K20)</formula>
    </cfRule>
    <cfRule type="expression" dxfId="5" priority="8">
      <formula>WEEKDAY(N$10,2)&gt;5</formula>
    </cfRule>
  </conditionalFormatting>
  <conditionalFormatting sqref="L20">
    <cfRule type="dataBar" priority="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{F690042E-A972-423B-9703-DC8F8ADFBD5D}</x14:id>
        </ext>
      </extLst>
    </cfRule>
  </conditionalFormatting>
  <conditionalFormatting sqref="N20:PR20">
    <cfRule type="expression" dxfId="4" priority="10">
      <formula>N$10=$T$3</formula>
    </cfRule>
  </conditionalFormatting>
  <conditionalFormatting sqref="N27:PR27">
    <cfRule type="expression" dxfId="3" priority="2">
      <formula>AND(N$10&gt;=$I27,N$10&lt;=$K27,N$10&lt;=$M27,$L27&gt;0)</formula>
    </cfRule>
    <cfRule type="expression" dxfId="2" priority="3">
      <formula>AND(N$10&gt;=$I27,N$10&lt;=$K27)</formula>
    </cfRule>
    <cfRule type="expression" dxfId="1" priority="4">
      <formula>WEEKDAY(N$10,2)&gt;5</formula>
    </cfRule>
  </conditionalFormatting>
  <conditionalFormatting sqref="N27:PR27">
    <cfRule type="expression" dxfId="0" priority="5">
      <formula>N$10=$T$3</formula>
    </cfRule>
  </conditionalFormatting>
  <conditionalFormatting sqref="L27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{66755C35-129E-4F7B-8CCF-72FAE9E86208}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Scroll Bar 6">
              <controlPr defaultSize="0" autoPict="0">
                <anchor moveWithCells="1">
                  <from>
                    <xdr:col>13</xdr:col>
                    <xdr:colOff>30480</xdr:colOff>
                    <xdr:row>4</xdr:row>
                    <xdr:rowOff>259080</xdr:rowOff>
                  </from>
                  <to>
                    <xdr:col>32</xdr:col>
                    <xdr:colOff>68580</xdr:colOff>
                    <xdr:row>6</xdr:row>
                    <xdr:rowOff>60960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B77C89-8DC2-4BC5-9177-C26C04BDAC7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L11:L13 L15:L16 L18:L19 L21</xm:sqref>
        </x14:conditionalFormatting>
        <x14:conditionalFormatting xmlns:xm="http://schemas.microsoft.com/office/excel/2006/main">
          <x14:cfRule type="dataBar" id="{A219D4F6-EC38-4307-A09A-C2FDB59648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3C88267-9BC2-45EC-8BBC-A9AE702DBE6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2519B011-5B1E-4C75-90F2-51EE67501AE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906612-A512-48AA-8775-1FB5A401241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F4F28DA-3035-4063-ACA7-DCA53D194B7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L23:L26 L28</xm:sqref>
        </x14:conditionalFormatting>
        <x14:conditionalFormatting xmlns:xm="http://schemas.microsoft.com/office/excel/2006/main">
          <x14:cfRule type="dataBar" id="{A127A70A-5374-492C-9A3D-0B6F04D0668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AE6CEDF1-07EA-4A95-8647-69767E12BC2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L31:L35</xm:sqref>
        </x14:conditionalFormatting>
        <x14:conditionalFormatting xmlns:xm="http://schemas.microsoft.com/office/excel/2006/main">
          <x14:cfRule type="dataBar" id="{F690042E-A972-423B-9703-DC8F8ADFBD5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6755C35-129E-4F7B-8CCF-72FAE9E8620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14" sqref="C14"/>
    </sheetView>
  </sheetViews>
  <sheetFormatPr baseColWidth="10" defaultRowHeight="13.2"/>
  <cols>
    <col min="1" max="1" width="12.5546875" bestFit="1" customWidth="1"/>
    <col min="3" max="3" width="14.77734375" bestFit="1" customWidth="1"/>
  </cols>
  <sheetData>
    <row r="1" spans="1:3">
      <c r="A1" s="2" t="s">
        <v>12</v>
      </c>
      <c r="C1" s="2" t="s">
        <v>25</v>
      </c>
    </row>
    <row r="2" spans="1:3">
      <c r="A2" s="16" t="s">
        <v>13</v>
      </c>
      <c r="C2" s="63">
        <v>45962</v>
      </c>
    </row>
    <row r="3" spans="1:3">
      <c r="A3" s="15" t="s">
        <v>14</v>
      </c>
      <c r="C3" s="63">
        <v>45972</v>
      </c>
    </row>
    <row r="4" spans="1:3">
      <c r="A4" s="14" t="s">
        <v>15</v>
      </c>
      <c r="C4" s="63">
        <v>46118</v>
      </c>
    </row>
    <row r="5" spans="1:3">
      <c r="A5" s="2" t="s">
        <v>16</v>
      </c>
      <c r="C5" s="63">
        <v>46143</v>
      </c>
    </row>
    <row r="6" spans="1:3">
      <c r="C6" s="63">
        <v>46150</v>
      </c>
    </row>
    <row r="7" spans="1:3">
      <c r="C7" s="63">
        <v>46156</v>
      </c>
    </row>
    <row r="8" spans="1:3">
      <c r="C8" s="63">
        <v>46157</v>
      </c>
    </row>
    <row r="9" spans="1:3">
      <c r="C9" s="63">
        <v>46167</v>
      </c>
    </row>
    <row r="10" spans="1:3">
      <c r="C10" s="63"/>
    </row>
    <row r="11" spans="1:3">
      <c r="C11" s="63"/>
    </row>
    <row r="12" spans="1:3">
      <c r="C12" s="63"/>
    </row>
    <row r="13" spans="1:3">
      <c r="C13" s="63"/>
    </row>
    <row r="14" spans="1:3">
      <c r="C14" s="63"/>
    </row>
    <row r="15" spans="1:3">
      <c r="C15" s="63"/>
    </row>
    <row r="16" spans="1:3">
      <c r="C16" s="63"/>
    </row>
    <row r="17" spans="3:3">
      <c r="C17" s="63"/>
    </row>
    <row r="18" spans="3:3">
      <c r="C18" s="63"/>
    </row>
    <row r="20" spans="3:3">
      <c r="C20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Planification_projet</vt:lpstr>
      <vt:lpstr>parametre</vt:lpstr>
      <vt:lpstr>DateDebutProjet</vt:lpstr>
      <vt:lpstr>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CAM</dc:creator>
  <cp:lastModifiedBy>Philippe CAM</cp:lastModifiedBy>
  <dcterms:created xsi:type="dcterms:W3CDTF">2022-10-12T21:12:16Z</dcterms:created>
  <dcterms:modified xsi:type="dcterms:W3CDTF">2025-07-22T19:34:29Z</dcterms:modified>
</cp:coreProperties>
</file>